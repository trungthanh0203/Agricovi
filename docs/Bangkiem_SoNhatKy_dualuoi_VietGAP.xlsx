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Chung &amp; Mục lục" sheetId="1" state="visible" r:id="rId1"/>
    <sheet xmlns:r="http://schemas.openxmlformats.org/officeDocument/2006/relationships" name="BangKiem_VietGAP" sheetId="2" state="visible" r:id="rId2"/>
    <sheet xmlns:r="http://schemas.openxmlformats.org/officeDocument/2006/relationships" name="NhatKy_GieoTrong" sheetId="3" state="visible" r:id="rId3"/>
    <sheet xmlns:r="http://schemas.openxmlformats.org/officeDocument/2006/relationships" name="NhatKy_BonPhan" sheetId="4" state="visible" r:id="rId4"/>
    <sheet xmlns:r="http://schemas.openxmlformats.org/officeDocument/2006/relationships" name="NhatKy_PhunThuoc" sheetId="5" state="visible" r:id="rId5"/>
    <sheet xmlns:r="http://schemas.openxmlformats.org/officeDocument/2006/relationships" name="NhatKy_TuoiNuoc" sheetId="6" state="visible" r:id="rId6"/>
    <sheet xmlns:r="http://schemas.openxmlformats.org/officeDocument/2006/relationships" name="NhatKy_ThuHoach" sheetId="7" state="visible" r:id="rId7"/>
    <sheet xmlns:r="http://schemas.openxmlformats.org/officeDocument/2006/relationships" name="SuCo_KhacPhuc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"/>
    <numFmt numFmtId="166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i val="1"/>
      <color rgb="00595959"/>
      <sz val="10"/>
    </font>
    <font>
      <name val="Calibri"/>
      <b val="1"/>
      <color rgb="000000FF"/>
      <sz val="11"/>
      <u val="single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0" fontId="2" fillId="3" borderId="0" pivotButton="0" quotePrefix="0" xfId="0"/>
    <xf numFmtId="0" fontId="2" fillId="2" borderId="0" applyAlignment="1" pivotButton="0" quotePrefix="0" xfId="0">
      <alignment horizontal="center" vertical="center" wrapText="1"/>
    </xf>
    <xf numFmtId="3" fontId="3" fillId="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164" fontId="3" fillId="5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165" fontId="3" fillId="5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/>
    </xf>
    <xf numFmtId="164" fontId="4" fillId="7" borderId="2" applyAlignment="1" pivotButton="0" quotePrefix="0" xfId="0">
      <alignment horizontal="right" vertical="center"/>
    </xf>
    <xf numFmtId="166" fontId="4" fillId="5" borderId="2" applyAlignment="1" pivotButton="0" quotePrefix="0" xfId="0">
      <alignment horizontal="center" vertical="center" wrapText="1"/>
    </xf>
    <xf numFmtId="3" fontId="4" fillId="7" borderId="2" applyAlignment="1" pivotButton="0" quotePrefix="0" xfId="0">
      <alignment horizontal="right" vertical="center"/>
    </xf>
    <xf numFmtId="2" fontId="4" fillId="5" borderId="2" applyAlignment="1" pivotButton="0" quotePrefix="0" xfId="0">
      <alignment horizontal="right" vertical="center"/>
    </xf>
    <xf numFmtId="165" fontId="4" fillId="7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35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SỔ NHẬT KÝ SẢN XUẤT DƯA LƯỚI VIETGAP &amp; BẢNG KIỂM TỰ ĐÁNH GIÁ</t>
        </is>
      </c>
    </row>
    <row r="2"/>
    <row r="3"/>
    <row r="4">
      <c r="A4" s="2" t="inlineStr">
        <is>
          <t>I. THÔNG TIN CƠ SỞ SẢN XUẤT &amp; MÙA VỤ</t>
        </is>
      </c>
    </row>
    <row r="5">
      <c r="A5" s="3" t="inlineStr">
        <is>
          <t>Tên cơ sở / Trang trại:</t>
        </is>
      </c>
      <c r="B5" s="4" t="inlineStr">
        <is>
          <t>Trang trại Dưa lưới Công nghệ cao Hachi VietGAP</t>
        </is>
      </c>
      <c r="D5" s="3" t="inlineStr">
        <is>
          <t>Mã số chứng nhận VietGAP:</t>
        </is>
      </c>
      <c r="E5" s="4" t="inlineStr">
        <is>
          <t>GAP-VT-2026-8899</t>
        </is>
      </c>
    </row>
    <row r="6">
      <c r="A6" s="3" t="inlineStr">
        <is>
          <t>Địa chỉ sản xuất:</t>
        </is>
      </c>
      <c r="B6" s="4" t="inlineStr">
        <is>
          <t>Xã Nhuận Đức, Huyện Củ Chi, TP. Hồ Chí Minh</t>
        </is>
      </c>
      <c r="D6" s="3" t="inlineStr">
        <is>
          <t>Chủ cơ sở / Quản lý:</t>
        </is>
      </c>
      <c r="E6" s="4" t="inlineStr">
        <is>
          <t>Nguyễn Văn Quảng</t>
        </is>
      </c>
    </row>
    <row r="7">
      <c r="A7" s="3" t="inlineStr">
        <is>
          <t>Diện tích nhà màng (m²):</t>
        </is>
      </c>
      <c r="B7" s="5" t="n">
        <v>1000</v>
      </c>
      <c r="D7" s="3" t="inlineStr">
        <is>
          <t>Cán bộ kỹ thuật phụ trách:</t>
        </is>
      </c>
      <c r="E7" s="4" t="inlineStr">
        <is>
          <t>KTS. Lê Hoàng Nam</t>
        </is>
      </c>
    </row>
    <row r="8">
      <c r="A8" s="3" t="inlineStr">
        <is>
          <t>Tên vụ mùa:</t>
        </is>
      </c>
      <c r="B8" s="4" t="inlineStr">
        <is>
          <t>Vụ Thu Đông 2026 (Mã vụ: VD-2026-03)</t>
        </is>
      </c>
      <c r="D8" s="3" t="inlineStr">
        <is>
          <t>Giống dưa lưới:</t>
        </is>
      </c>
      <c r="E8" s="4" t="inlineStr">
        <is>
          <t>TL3 (Kháng bệnh tốt, Brix cao)</t>
        </is>
      </c>
    </row>
    <row r="9">
      <c r="A9" s="3" t="inlineStr">
        <is>
          <t>Ngày gieo hạt:</t>
        </is>
      </c>
      <c r="B9" s="4" t="inlineStr">
        <is>
          <t>2026-11-01</t>
        </is>
      </c>
      <c r="D9" s="3" t="inlineStr">
        <is>
          <t>Dự kiến thu hoạch:</t>
        </is>
      </c>
      <c r="E9" s="4" t="inlineStr">
        <is>
          <t>2027-01-15</t>
        </is>
      </c>
    </row>
    <row r="10">
      <c r="A10" s="3" t="inlineStr">
        <is>
          <t>Mật độ gieo trồng:</t>
        </is>
      </c>
      <c r="B10" s="4" t="inlineStr">
        <is>
          <t>2,500 cây/1.000m² (Hàng đôi)</t>
        </is>
      </c>
      <c r="D10" s="3" t="inlineStr">
        <is>
          <t>Mục tiêu sản lượng:</t>
        </is>
      </c>
      <c r="E10" s="4" t="inlineStr">
        <is>
          <t>2,500 kg (Độ ngọt ≥ 13°Brix)</t>
        </is>
      </c>
    </row>
    <row r="11"/>
    <row r="12">
      <c r="A12" s="6" t="inlineStr">
        <is>
          <t>II. BẢNG TỔNG HỢP THEO DÕI SẢN XUẤT (AUTOMATED DASHBOARD)</t>
        </is>
      </c>
    </row>
    <row r="13">
      <c r="A13" s="7" t="inlineStr">
        <is>
          <t>Chỉ số theo dõi Mùa vụ</t>
        </is>
      </c>
      <c r="C13" s="7" t="inlineStr">
        <is>
          <t>Số liệu tự động</t>
        </is>
      </c>
      <c r="D13" s="7" t="inlineStr">
        <is>
          <t>Đơn vị tính</t>
        </is>
      </c>
      <c r="E13" s="7" t="inlineStr">
        <is>
          <t>Ghi chú &amp; Cảnh báo VietGAP</t>
        </is>
      </c>
    </row>
    <row r="14">
      <c r="A14" s="3" t="inlineStr">
        <is>
          <t>Tổng số lượt bón phân / châm dinh dưỡng</t>
        </is>
      </c>
      <c r="C14" s="8">
        <f>COUNTA(NhatKy_BonPhan!A5:A20)</f>
        <v/>
      </c>
      <c r="D14" s="9" t="inlineStr">
        <is>
          <t>Lượt</t>
        </is>
      </c>
      <c r="E14" s="10" t="inlineStr">
        <is>
          <t>Tự động đếm số lần bón phân</t>
        </is>
      </c>
    </row>
    <row r="15">
      <c r="A15" s="3" t="inlineStr">
        <is>
          <t>Tổng khối lượng phân bón sử dụng</t>
        </is>
      </c>
      <c r="C15" s="11">
        <f>SUM(NhatKy_BonPhan!F5:F20)</f>
        <v/>
      </c>
      <c r="D15" s="9" t="inlineStr">
        <is>
          <t>Kg / Lít</t>
        </is>
      </c>
      <c r="E15" s="10" t="inlineStr">
        <is>
          <t>Tổng phân đa-trung-vi lượng</t>
        </is>
      </c>
    </row>
    <row r="16">
      <c r="A16" s="3" t="inlineStr">
        <is>
          <t>Tổng số đợt phun thuốc BVTV</t>
        </is>
      </c>
      <c r="C16" s="8">
        <f>COUNTA(NhatKy_PhunThuoc!A5:A20)</f>
        <v/>
      </c>
      <c r="D16" s="9" t="inlineStr">
        <is>
          <t>Đợt</t>
        </is>
      </c>
      <c r="E16" s="10" t="inlineStr">
        <is>
          <t>Theo dõi nhật ký BVTV</t>
        </is>
      </c>
    </row>
    <row r="17">
      <c r="A17" s="3" t="inlineStr">
        <is>
          <t>Cảnh báo vi phạm thời gian cách ly PHI</t>
        </is>
      </c>
      <c r="C17" s="12">
        <f>IF(COUNTIF(NhatKy_PhunThuoc!I5:I20,"CẢNH BÁO*")&gt;0, "CẢNH BÁO - CÓ LÔ CHƯA ĐỦ PHI!", "AN TOÀN - ĐỦ THỜI GIAN CÁCH LY")</f>
        <v/>
      </c>
      <c r="D17" s="9" t="inlineStr">
        <is>
          <t>Trạng thái</t>
        </is>
      </c>
      <c r="E17" s="10" t="inlineStr">
        <is>
          <t>Kiểm soát an toàn thực phẩm</t>
        </is>
      </c>
    </row>
    <row r="18">
      <c r="A18" s="3" t="inlineStr">
        <is>
          <t>Tổng số lần tưới nước</t>
        </is>
      </c>
      <c r="C18" s="8">
        <f>COUNTA(NhatKy_TuoiNuoc!A5:A20)</f>
        <v/>
      </c>
      <c r="D18" s="9" t="inlineStr">
        <is>
          <t>Lượt tưới</t>
        </is>
      </c>
      <c r="E18" s="10" t="inlineStr">
        <is>
          <t>Kiểm soát chế độ nước tưới</t>
        </is>
      </c>
    </row>
    <row r="19">
      <c r="A19" s="3" t="inlineStr">
        <is>
          <t>Tổng sản lượng thu hoạch thực tế</t>
        </is>
      </c>
      <c r="C19" s="11">
        <f>SUM(NhatKy_ThuHoach!D5:D20)</f>
        <v/>
      </c>
      <c r="D19" s="9" t="inlineStr">
        <is>
          <t>Kg</t>
        </is>
      </c>
      <c r="E19" s="10" t="inlineStr">
        <is>
          <t>Tổng dưa thu hoạch các đợt</t>
        </is>
      </c>
    </row>
    <row r="20">
      <c r="A20" s="3" t="inlineStr">
        <is>
          <t>Độ ngọt Brix trung bình trái</t>
        </is>
      </c>
      <c r="C20" s="13">
        <f>AVERAGE(NhatKy_ThuHoach!F5:F20)</f>
        <v/>
      </c>
      <c r="D20" s="9" t="inlineStr">
        <is>
          <t>°Brix</t>
        </is>
      </c>
      <c r="E20" s="10" t="inlineStr">
        <is>
          <t>Tiêu chuẩn xuất bán ≥ 12-14°Brix</t>
        </is>
      </c>
    </row>
    <row r="21">
      <c r="A21" s="3" t="inlineStr">
        <is>
          <t>Tổng số sự cố phát sinh &amp; Khắc phục</t>
        </is>
      </c>
      <c r="C21" s="8">
        <f>COUNTA(SuCo_KhacPhuc!A5:A20)</f>
        <v/>
      </c>
      <c r="D21" s="9" t="inlineStr">
        <is>
          <t>Vụ việc</t>
        </is>
      </c>
      <c r="E21" s="10" t="inlineStr">
        <is>
          <t>Đã xử lý đạt 100%</t>
        </is>
      </c>
    </row>
    <row r="22"/>
    <row r="23">
      <c r="A23" s="6" t="inlineStr">
        <is>
          <t>III. MỤC LỤC &amp; TẬP HỢP CÁC TRANG NHẬT KÝ (NAVIGATION)</t>
        </is>
      </c>
    </row>
    <row r="24">
      <c r="A24" s="14" t="inlineStr">
        <is>
          <t>STT</t>
        </is>
      </c>
      <c r="B24" s="14" t="inlineStr">
        <is>
          <t>Tên Trang Sổ Nhật Ký</t>
        </is>
      </c>
      <c r="D24" s="14" t="inlineStr">
        <is>
          <t>Nội dung &amp; Mục đích theo dõi VietGAP</t>
        </is>
      </c>
      <c r="G24" s="14" t="inlineStr">
        <is>
          <t>Liên kết nhanh</t>
        </is>
      </c>
    </row>
    <row r="25">
      <c r="A25" s="15" t="n">
        <v>1</v>
      </c>
      <c r="B25" s="3" t="inlineStr">
        <is>
          <t>BangKiem_VietGAP</t>
        </is>
      </c>
      <c r="D25" s="16" t="inlineStr">
        <is>
          <t>Bảng kiểm tra tự đánh giá tiêu chuẩn VietGAP dưa lưới (25 tiêu chí core)</t>
        </is>
      </c>
      <c r="G25" s="17">
        <f>HYPERLINK("#BangKiem_VietGAP!A1", "Mở trang →")</f>
        <v/>
      </c>
    </row>
    <row r="26">
      <c r="A26" s="15" t="n">
        <v>2</v>
      </c>
      <c r="B26" s="3" t="inlineStr">
        <is>
          <t>NhatKy_GieoTrong</t>
        </is>
      </c>
      <c r="D26" s="16" t="inlineStr">
        <is>
          <t>Theo dõi xuất xứ giống, ngâm ủ, khay ươm, mật độ ra vườn, kẹp gốc</t>
        </is>
      </c>
      <c r="G26" s="17">
        <f>HYPERLINK("#NhatKy_GieoTrong!A1", "Mở trang →")</f>
        <v/>
      </c>
    </row>
    <row r="27">
      <c r="A27" s="15" t="n">
        <v>3</v>
      </c>
      <c r="B27" s="3" t="inlineStr">
        <is>
          <t>NhatKy_BonPhan</t>
        </is>
      </c>
      <c r="D27" s="16" t="inlineStr">
        <is>
          <t>Ghi chép công thức phân bón, liều lượng, chỉ số EC/pH, đợt bón Fertigation</t>
        </is>
      </c>
      <c r="G27" s="17">
        <f>HYPERLINK("#NhatKy_BonPhan!A1", "Mở trang →")</f>
        <v/>
      </c>
    </row>
    <row r="28">
      <c r="A28" s="15" t="n">
        <v>4</v>
      </c>
      <c r="B28" s="3" t="inlineStr">
        <is>
          <t>NhatKy_PhunThuoc</t>
        </is>
      </c>
      <c r="D28" s="16" t="inlineStr">
        <is>
          <t>Theo dõi thuốc BVTV, hoạt chất, liều lượng &amp; Tự động tính thời gian cách ly PHI</t>
        </is>
      </c>
      <c r="G28" s="17">
        <f>HYPERLINK("#NhatKy_PhunThuoc!A1", "Mở trang →")</f>
        <v/>
      </c>
    </row>
    <row r="29">
      <c r="A29" s="15" t="n">
        <v>5</v>
      </c>
      <c r="B29" s="3" t="inlineStr">
        <is>
          <t>NhatKy_TuoiNuoc</t>
        </is>
      </c>
      <c r="D29" s="16" t="inlineStr">
        <is>
          <t>Theo dõi số lần tưới, lượng nước/bầu/ngày, vi khí hậu nhiệt độ/độ ẩm nhà màng</t>
        </is>
      </c>
      <c r="G29" s="17">
        <f>HYPERLINK("#NhatKy_TuoiNuoc!A1", "Mở trang →")</f>
        <v/>
      </c>
    </row>
    <row r="30">
      <c r="A30" s="15" t="n">
        <v>6</v>
      </c>
      <c r="B30" s="3" t="inlineStr">
        <is>
          <t>NhatKy_ThuHoach</t>
        </is>
      </c>
      <c r="D30" s="16" t="inlineStr">
        <is>
          <t>Ghi nhận mã lô, sản lượng (kg), phân loại quả, độ ngọt °Brix, đơn vị thu mua</t>
        </is>
      </c>
      <c r="G30" s="17">
        <f>HYPERLINK("#NhatKy_ThuHoach!A1", "Mở trang →")</f>
        <v/>
      </c>
    </row>
    <row r="31">
      <c r="A31" s="15" t="n">
        <v>7</v>
      </c>
      <c r="B31" s="3" t="inlineStr">
        <is>
          <t>SuCo_KhacPhuc</t>
        </is>
      </c>
      <c r="D31" s="16" t="inlineStr">
        <is>
          <t>Nhật ký ghi nhận các bất thường (thời tiết, sâu bệnh, thiết bị) &amp; biện pháp xử lý</t>
        </is>
      </c>
      <c r="G31" s="17">
        <f>HYPERLINK("#SuCo_KhacPhuc!A1", "Mở trang →")</f>
        <v/>
      </c>
    </row>
  </sheetData>
  <mergeCells count="38">
    <mergeCell ref="E13:G13"/>
    <mergeCell ref="A1:G2"/>
    <mergeCell ref="A15:B15"/>
    <mergeCell ref="E19:G19"/>
    <mergeCell ref="B25:C25"/>
    <mergeCell ref="D27:F27"/>
    <mergeCell ref="A4:G4"/>
    <mergeCell ref="B31:C31"/>
    <mergeCell ref="B27:C27"/>
    <mergeCell ref="E15:G15"/>
    <mergeCell ref="A16:B16"/>
    <mergeCell ref="D28:F28"/>
    <mergeCell ref="A18:B18"/>
    <mergeCell ref="D25:F25"/>
    <mergeCell ref="D30:F30"/>
    <mergeCell ref="E16:G16"/>
    <mergeCell ref="D24:F24"/>
    <mergeCell ref="A21:B21"/>
    <mergeCell ref="D29:F29"/>
    <mergeCell ref="B29:C29"/>
    <mergeCell ref="B28:C28"/>
    <mergeCell ref="A14:B14"/>
    <mergeCell ref="E18:G18"/>
    <mergeCell ref="D26:F26"/>
    <mergeCell ref="A17:B17"/>
    <mergeCell ref="E21:G21"/>
    <mergeCell ref="A20:B20"/>
    <mergeCell ref="B24:C24"/>
    <mergeCell ref="B30:C30"/>
    <mergeCell ref="E14:G14"/>
    <mergeCell ref="A19:B19"/>
    <mergeCell ref="D31:F31"/>
    <mergeCell ref="A12:G12"/>
    <mergeCell ref="A13:B13"/>
    <mergeCell ref="E17:G17"/>
    <mergeCell ref="B26:C26"/>
    <mergeCell ref="E20:G20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5" customWidth="1" min="3" max="3"/>
    <col width="18" customWidth="1" min="4" max="4"/>
    <col width="35" customWidth="1" min="5" max="5"/>
    <col width="30" customWidth="1" min="6" max="6"/>
    <col width="15" customWidth="1" min="7" max="7"/>
  </cols>
  <sheetData>
    <row r="1">
      <c r="A1" s="1" t="inlineStr">
        <is>
          <t>BẢNG KIỂM TỰ ĐÁNH GIÁ CHỨNG NHẬN VIETGAP TRỒNG TRỌT (TCVN 11892-1:2017)
Chuyên ngành: Dưa lưới trồng trong nhà màng công nghệ cao</t>
        </is>
      </c>
    </row>
    <row r="2"/>
    <row r="4" ht="28" customHeight="1">
      <c r="A4" s="18" t="inlineStr">
        <is>
          <t>Mã TC</t>
        </is>
      </c>
      <c r="B4" s="18" t="inlineStr">
        <is>
          <t>Nội dung Tiêu chí Đánh giá VietGAP</t>
        </is>
      </c>
      <c r="C4" s="18" t="inlineStr">
        <is>
          <t>Mức độ RR</t>
        </is>
      </c>
      <c r="D4" s="18" t="inlineStr">
        <is>
          <t>Đánh giá Thực tế</t>
        </is>
      </c>
      <c r="E4" s="18" t="inlineStr">
        <is>
          <t>Hồ sơ Minh chứng yêu cầu</t>
        </is>
      </c>
      <c r="F4" s="18" t="inlineStr">
        <is>
          <t>Ghi chú &amp; Khắc phục</t>
        </is>
      </c>
      <c r="G4" s="18" t="inlineStr">
        <is>
          <t>Trạng thái</t>
        </is>
      </c>
    </row>
    <row r="5">
      <c r="A5" s="19" t="inlineStr">
        <is>
          <t>1.1</t>
        </is>
      </c>
      <c r="B5" s="20" t="inlineStr">
        <is>
          <t>Địa điểm nhà màng cao ráo, không bị ngập úng, cách xa nguồn ô nhiễm (bãi rác, nghĩa trang, hóa chất).</t>
        </is>
      </c>
      <c r="C5" s="19" t="inlineStr">
        <is>
          <t>A - Bắt buộc</t>
        </is>
      </c>
      <c r="D5" s="21" t="inlineStr">
        <is>
          <t>Đạt</t>
        </is>
      </c>
      <c r="E5" s="20" t="inlineStr">
        <is>
          <t>Bản đồ vị trí &amp; Báo cáo đánh giá vùng trồng</t>
        </is>
      </c>
      <c r="F5" s="20" t="inlineStr">
        <is>
          <t>Đã khảo sát đạt chuẩn</t>
        </is>
      </c>
      <c r="G5" s="22" t="inlineStr">
        <is>
          <t>ĐẠT</t>
        </is>
      </c>
    </row>
    <row r="6">
      <c r="A6" s="19" t="inlineStr">
        <is>
          <t>1.2</t>
        </is>
      </c>
      <c r="B6" s="20" t="inlineStr">
        <is>
          <t>Đất/Nền nhà màng sạch, có bạt phủ cách ly chống cỏ dại và mầm bệnh từ đất.</t>
        </is>
      </c>
      <c r="C6" s="19" t="inlineStr">
        <is>
          <t>B - Cao</t>
        </is>
      </c>
      <c r="D6" s="21" t="inlineStr">
        <is>
          <t>Đạt</t>
        </is>
      </c>
      <c r="E6" s="20" t="inlineStr">
        <is>
          <t>Nhật ký vệ sinh nền &amp; mẫu bạt phủ</t>
        </is>
      </c>
      <c r="F6" s="20" t="inlineStr">
        <is>
          <t>Bạt trắng phản quang đạt 100%</t>
        </is>
      </c>
      <c r="G6" s="22" t="inlineStr">
        <is>
          <t>ĐẠT</t>
        </is>
      </c>
    </row>
    <row r="7">
      <c r="A7" s="19" t="inlineStr">
        <is>
          <t>2.1</t>
        </is>
      </c>
      <c r="B7" s="20" t="inlineStr">
        <is>
          <t>Nguồn nước tưới đạt tiêu chuẩn an toàn (nước giếng khoan/nước sông qua xử lý), không nhiễm kim loại nặng.</t>
        </is>
      </c>
      <c r="C7" s="19" t="inlineStr">
        <is>
          <t>A - Bắt buộc</t>
        </is>
      </c>
      <c r="D7" s="21" t="inlineStr">
        <is>
          <t>Đạt</t>
        </is>
      </c>
      <c r="E7" s="20" t="inlineStr">
        <is>
          <t>Kết quả xét nghiệm nước tưới định kỳ</t>
        </is>
      </c>
      <c r="F7" s="20" t="inlineStr">
        <is>
          <t>Kết quả xét nghiệm nước đạt TCVN</t>
        </is>
      </c>
      <c r="G7" s="22" t="inlineStr">
        <is>
          <t>ĐẠT</t>
        </is>
      </c>
    </row>
    <row r="8">
      <c r="A8" s="19" t="inlineStr">
        <is>
          <t>2.2</t>
        </is>
      </c>
      <c r="B8" s="20" t="inlineStr">
        <is>
          <t>Hệ thống bồn chứa phân bón A/B riêng biệt, có mô tơ đảo trộn chống lắng đọng kết tủa.</t>
        </is>
      </c>
      <c r="C8" s="19" t="inlineStr">
        <is>
          <t>B - Cao</t>
        </is>
      </c>
      <c r="D8" s="21" t="inlineStr">
        <is>
          <t>Đạt</t>
        </is>
      </c>
      <c r="E8" s="20" t="inlineStr">
        <is>
          <t>Sơ đồ hệ thống Fertigation</t>
        </is>
      </c>
      <c r="F8" s="20" t="inlineStr">
        <is>
          <t>Hệ thống bồn PE 1000L</t>
        </is>
      </c>
      <c r="G8" s="22" t="inlineStr">
        <is>
          <t>ĐẠT</t>
        </is>
      </c>
    </row>
    <row r="9">
      <c r="A9" s="19" t="inlineStr">
        <is>
          <t>2.3</t>
        </is>
      </c>
      <c r="B9" s="20" t="inlineStr">
        <is>
          <t>Phân bón sử dụng thuộc danh mục cho phép, có nguồn gốc rõ ràng, không dùng phân tươi.</t>
        </is>
      </c>
      <c r="C9" s="19" t="inlineStr">
        <is>
          <t>A - Bắt buộc</t>
        </is>
      </c>
      <c r="D9" s="21" t="inlineStr">
        <is>
          <t>Đạt</t>
        </is>
      </c>
      <c r="E9" s="20" t="inlineStr">
        <is>
          <t>Hóa đơn mua phân bón &amp; Nhãn nhãn hiệu</t>
        </is>
      </c>
      <c r="F9" s="20" t="inlineStr">
        <is>
          <t>Dùng phân bón hòa tan tinh khiết</t>
        </is>
      </c>
      <c r="G9" s="22" t="inlineStr">
        <is>
          <t>ĐẠT</t>
        </is>
      </c>
    </row>
    <row r="10">
      <c r="A10" s="19" t="inlineStr">
        <is>
          <t>3.1</t>
        </is>
      </c>
      <c r="B10" s="20" t="inlineStr">
        <is>
          <t>Giống dưa lưới có xuất xứ rõ ràng, có chứng nhận chất lượng, tỷ lệ nảy mầm ≥ 85%.</t>
        </is>
      </c>
      <c r="C10" s="19" t="inlineStr">
        <is>
          <t>A - Bắt buộc</t>
        </is>
      </c>
      <c r="D10" s="21" t="inlineStr">
        <is>
          <t>Đạt</t>
        </is>
      </c>
      <c r="E10" s="20" t="inlineStr">
        <is>
          <t>Hóa đơn mua hạt giống &amp; Giấy chứng nhận</t>
        </is>
      </c>
      <c r="F10" s="20" t="inlineStr">
        <is>
          <t>Giống TL3 F1 chính hãng</t>
        </is>
      </c>
      <c r="G10" s="22" t="inlineStr">
        <is>
          <t>ĐẠT</t>
        </is>
      </c>
    </row>
    <row r="11">
      <c r="A11" s="19" t="inlineStr">
        <is>
          <t>3.2</t>
        </is>
      </c>
      <c r="B11" s="20" t="inlineStr">
        <is>
          <t>Giá thể mụn dừa đã qua quy trình xả chát Tanin &amp; Lignin hoàn toàn trước khi trồng.</t>
        </is>
      </c>
      <c r="C11" s="19" t="inlineStr">
        <is>
          <t>A - Bắt buộc</t>
        </is>
      </c>
      <c r="D11" s="21" t="inlineStr">
        <is>
          <t>Đạt</t>
        </is>
      </c>
      <c r="E11" s="20" t="inlineStr">
        <is>
          <t>Nhật ký xử lý giá thể (Xả vôi 7 ngày)</t>
        </is>
      </c>
      <c r="F11" s="20" t="inlineStr">
        <is>
          <t>Kiểm tra EC &lt; 0.5 mS/cm</t>
        </is>
      </c>
      <c r="G11" s="22" t="inlineStr">
        <is>
          <t>ĐẠT</t>
        </is>
      </c>
    </row>
    <row r="12">
      <c r="A12" s="19" t="inlineStr">
        <is>
          <t>4.1</t>
        </is>
      </c>
      <c r="B12" s="20" t="inlineStr">
        <is>
          <t>Áp dụng quản lý dịch hại tổng hợp IPM (bẫy dính vàng, lưới chắn côn trùng 32-50 mesh).</t>
        </is>
      </c>
      <c r="C12" s="19" t="inlineStr">
        <is>
          <t>B - Cao</t>
        </is>
      </c>
      <c r="D12" s="21" t="inlineStr">
        <is>
          <t>Đạt</t>
        </is>
      </c>
      <c r="E12" s="20" t="inlineStr">
        <is>
          <t>Nhật ký theo dõi bẫy dính</t>
        </is>
      </c>
      <c r="F12" s="20" t="inlineStr">
        <is>
          <t>Lưới màng nguyên vẹn</t>
        </is>
      </c>
      <c r="G12" s="22" t="inlineStr">
        <is>
          <t>ĐẠT</t>
        </is>
      </c>
    </row>
    <row r="13">
      <c r="A13" s="19" t="inlineStr">
        <is>
          <t>4.2</t>
        </is>
      </c>
      <c r="B13" s="20" t="inlineStr">
        <is>
          <t>Chỉ sử dụng thuốc BVTV trong danh mục được phép, đúng liều lượng và nguyên tắc 4 đúng.</t>
        </is>
      </c>
      <c r="C13" s="19" t="inlineStr">
        <is>
          <t>A - Bắt buộc</t>
        </is>
      </c>
      <c r="D13" s="21" t="inlineStr">
        <is>
          <t>Đạt</t>
        </is>
      </c>
      <c r="E13" s="20" t="inlineStr">
        <is>
          <t>Sổ nhật ký phun thuốc BVTV</t>
        </is>
      </c>
      <c r="F13" s="20" t="inlineStr">
        <is>
          <t>Thuốc sinh học/tiếp xúc mau phân hủy</t>
        </is>
      </c>
      <c r="G13" s="22" t="inlineStr">
        <is>
          <t>ĐẠT</t>
        </is>
      </c>
    </row>
    <row r="14">
      <c r="A14" s="19" t="inlineStr">
        <is>
          <t>4.3</t>
        </is>
      </c>
      <c r="B14" s="20" t="inlineStr">
        <is>
          <t>Tuân thủ nghiêm ngặt thời gian cách ly (PHI) của từng loại thuốc trước khi thu hoạch.</t>
        </is>
      </c>
      <c r="C14" s="19" t="inlineStr">
        <is>
          <t>A - Bắt buộc</t>
        </is>
      </c>
      <c r="D14" s="21" t="inlineStr">
        <is>
          <t>Đạt</t>
        </is>
      </c>
      <c r="E14" s="20" t="inlineStr">
        <is>
          <t>Sổ nhật ký BVTV &amp; Phiếu kiểm tra PHI</t>
        </is>
      </c>
      <c r="F14" s="20" t="inlineStr">
        <is>
          <t>Tự động kiểm tra PHI bằng phần mềm</t>
        </is>
      </c>
      <c r="G14" s="22" t="inlineStr">
        <is>
          <t>ĐẠT</t>
        </is>
      </c>
    </row>
    <row r="15">
      <c r="A15" s="19" t="inlineStr">
        <is>
          <t>4.4</t>
        </is>
      </c>
      <c r="B15" s="20" t="inlineStr">
        <is>
          <t>Kho chứa thuốc BVTV riêng biệt, có khóa an toàn, bảng cảnh báo và dụng cụ bảo hộ.</t>
        </is>
      </c>
      <c r="C15" s="19" t="inlineStr">
        <is>
          <t>A - Bắt buộc</t>
        </is>
      </c>
      <c r="D15" s="21" t="inlineStr">
        <is>
          <t>Đạt</t>
        </is>
      </c>
      <c r="E15" s="20" t="inlineStr">
        <is>
          <t>Biên bản kiểm tra an toàn kho</t>
        </is>
      </c>
      <c r="F15" s="20" t="inlineStr">
        <is>
          <t>Kho riêng có khóa chắc chắn</t>
        </is>
      </c>
      <c r="G15" s="22" t="inlineStr">
        <is>
          <t>ĐẠT</t>
        </is>
      </c>
    </row>
    <row r="16">
      <c r="A16" s="19" t="inlineStr">
        <is>
          <t>5.1</t>
        </is>
      </c>
      <c r="B16" s="20" t="inlineStr">
        <is>
          <t>Dụng cụ thu hoạch (kéo, rổ, xốp) sạch sẽ, được sát trùng trước khi cắt trái.</t>
        </is>
      </c>
      <c r="C16" s="19" t="inlineStr">
        <is>
          <t>B - Cao</t>
        </is>
      </c>
      <c r="D16" s="21" t="inlineStr">
        <is>
          <t>Đạt</t>
        </is>
      </c>
      <c r="E16" s="20" t="inlineStr">
        <is>
          <t>Nhật ký vệ sinh dụng cụ thu hoạch</t>
        </is>
      </c>
      <c r="F16" s="20" t="inlineStr">
        <is>
          <t>Khử trùng bằng cồn/Chlorine</t>
        </is>
      </c>
      <c r="G16" s="22" t="inlineStr">
        <is>
          <t>ĐẠT</t>
        </is>
      </c>
    </row>
    <row r="17">
      <c r="A17" s="19" t="inlineStr">
        <is>
          <t>5.2</t>
        </is>
      </c>
      <c r="B17" s="20" t="inlineStr">
        <is>
          <t>Ngưng cấp dung dịch dinh dưỡng 7 ngày và ngưng tưới nước 5 ngày trước thu hoạch.</t>
        </is>
      </c>
      <c r="C17" s="19" t="inlineStr">
        <is>
          <t>B - Cao</t>
        </is>
      </c>
      <c r="D17" s="21" t="inlineStr">
        <is>
          <t>Đạt</t>
        </is>
      </c>
      <c r="E17" s="20" t="inlineStr">
        <is>
          <t>Nhật ký tưới nước &amp; Fertigation</t>
        </is>
      </c>
      <c r="F17" s="20" t="inlineStr">
        <is>
          <t>Đảm bảo độ ngọt Brix ≥ 13°</t>
        </is>
      </c>
      <c r="G17" s="22" t="inlineStr">
        <is>
          <t>ĐẠT</t>
        </is>
      </c>
    </row>
    <row r="18">
      <c r="A18" s="19" t="inlineStr">
        <is>
          <t>5.3</t>
        </is>
      </c>
      <c r="B18" s="20" t="inlineStr">
        <is>
          <t>Trái dưa lưới được bọc xốp bảo vệ, bao gói bằng vật liệu không gây độc hại.</t>
        </is>
      </c>
      <c r="C18" s="19" t="inlineStr">
        <is>
          <t>B - Cao</t>
        </is>
      </c>
      <c r="D18" s="21" t="inlineStr">
        <is>
          <t>Đạt</t>
        </is>
      </c>
      <c r="E18" s="20" t="inlineStr">
        <is>
          <t>Mẫu bao bì &amp; Nhãn truy xuất QR Code</t>
        </is>
      </c>
      <c r="F18" s="20" t="inlineStr">
        <is>
          <t>Tem QR VietGAP dán từng trái</t>
        </is>
      </c>
      <c r="G18" s="22" t="inlineStr">
        <is>
          <t>ĐẠT</t>
        </is>
      </c>
    </row>
    <row r="19">
      <c r="A19" s="19" t="inlineStr">
        <is>
          <t>6.1</t>
        </is>
      </c>
      <c r="B19" s="20" t="inlineStr">
        <is>
          <t>Ghi chép nhật ký sản xuất đầy đủ, kịp thời các công đoạn (bón phân, phun thuốc, tưới, thu hoạch).</t>
        </is>
      </c>
      <c r="C19" s="19" t="inlineStr">
        <is>
          <t>A - Bắt buộc</t>
        </is>
      </c>
      <c r="D19" s="21" t="inlineStr">
        <is>
          <t>Đạt</t>
        </is>
      </c>
      <c r="E19" s="20" t="inlineStr">
        <is>
          <t>Sổ nhật ký điện tử / File Excel VietGAP</t>
        </is>
      </c>
      <c r="F19" s="20" t="inlineStr">
        <is>
          <t>Ghi chép hàng ngày</t>
        </is>
      </c>
      <c r="G19" s="22" t="inlineStr">
        <is>
          <t>ĐẠT</t>
        </is>
      </c>
    </row>
    <row r="20">
      <c r="A20" s="19" t="inlineStr">
        <is>
          <t>6.2</t>
        </is>
      </c>
      <c r="B20" s="20" t="inlineStr">
        <is>
          <t>Lưu trữ hồ sơ nhật ký và chứng từ liên quan ít nhất 12 tháng phục vụ truy xuất.</t>
        </is>
      </c>
      <c r="C20" s="19" t="inlineStr">
        <is>
          <t>A - Bắt buộc</t>
        </is>
      </c>
      <c r="D20" s="21" t="inlineStr">
        <is>
          <t>Đạt</t>
        </is>
      </c>
      <c r="E20" s="20" t="inlineStr">
        <is>
          <t>Kho hồ sơ lưu trữ</t>
        </is>
      </c>
      <c r="F20" s="20" t="inlineStr">
        <is>
          <t>Lưu trên Cloud &amp; File Excel</t>
        </is>
      </c>
      <c r="G20" s="22" t="inlineStr">
        <is>
          <t>ĐẠT</t>
        </is>
      </c>
    </row>
    <row r="21">
      <c r="A21" s="19" t="inlineStr">
        <is>
          <t>7.1</t>
        </is>
      </c>
      <c r="B21" s="20" t="inlineStr">
        <is>
          <t>Người lao động được trang bị đầy đủ bảo hộ (khẩu trang, găng tay, ủng) khi phun thuốc.</t>
        </is>
      </c>
      <c r="C21" s="19" t="inlineStr">
        <is>
          <t>B - Cao</t>
        </is>
      </c>
      <c r="D21" s="21" t="inlineStr">
        <is>
          <t>Đạt</t>
        </is>
      </c>
      <c r="E21" s="20" t="inlineStr">
        <is>
          <t>Biên bản cấp phát bảo hộ lao động</t>
        </is>
      </c>
      <c r="F21" s="20" t="inlineStr">
        <is>
          <t>Trang bị đầy đủ 100%</t>
        </is>
      </c>
      <c r="G21" s="22" t="inlineStr">
        <is>
          <t>ĐẠT</t>
        </is>
      </c>
    </row>
    <row r="22">
      <c r="A22" s="19" t="inlineStr">
        <is>
          <t>7.2</t>
        </is>
      </c>
      <c r="B22" s="20" t="inlineStr">
        <is>
          <t>Bao bì, chai lọ thuốc BVTV sau sử dụng được thu gom vào bể chứa nguy hại riêng.</t>
        </is>
      </c>
      <c r="C22" s="19" t="inlineStr">
        <is>
          <t>A - Bắt buộc</t>
        </is>
      </c>
      <c r="D22" s="21" t="inlineStr">
        <is>
          <t>Đạt</t>
        </is>
      </c>
      <c r="E22" s="20" t="inlineStr">
        <is>
          <t>Hình ảnh bể chứa rác thải nguy hại</t>
        </is>
      </c>
      <c r="F22" s="20" t="inlineStr">
        <is>
          <t>Có bể chứa bê tông có nắp đậy</t>
        </is>
      </c>
      <c r="G22" s="22" t="inlineStr">
        <is>
          <t>ĐẠT</t>
        </is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34" customWidth="1" min="2" max="2"/>
    <col width="21" customWidth="1" min="3" max="3"/>
    <col width="22" customWidth="1" min="4" max="4"/>
    <col width="21" customWidth="1" min="5" max="5"/>
    <col width="36" customWidth="1" min="6" max="6"/>
    <col width="19" customWidth="1" min="7" max="7"/>
    <col width="47" customWidth="1" min="8" max="8"/>
  </cols>
  <sheetData>
    <row r="1">
      <c r="A1" s="1" t="inlineStr">
        <is>
          <t>NHẬT KÝ SẢN XUẤT VIETGAP - NHATKY GIEOTRONG</t>
        </is>
      </c>
    </row>
    <row r="2"/>
    <row r="3"/>
    <row r="4" ht="26" customHeight="1">
      <c r="A4" s="18" t="inlineStr">
        <is>
          <t>Ngày thực hiện</t>
        </is>
      </c>
      <c r="B4" s="18" t="inlineStr">
        <is>
          <t>Hạng mục / Công việc</t>
        </is>
      </c>
      <c r="C4" s="18" t="inlineStr">
        <is>
          <t>Lô hạt / Cây con</t>
        </is>
      </c>
      <c r="D4" s="18" t="inlineStr">
        <is>
          <t>Mật độ / Số lượng</t>
        </is>
      </c>
      <c r="E4" s="18" t="inlineStr">
        <is>
          <t>Tỷ lệ nảy mầm (%)</t>
        </is>
      </c>
      <c r="F4" s="18" t="inlineStr">
        <is>
          <t>Tình trạng sinh trưởng</t>
        </is>
      </c>
      <c r="G4" s="18" t="inlineStr">
        <is>
          <t>Người thực hiện</t>
        </is>
      </c>
      <c r="H4" s="18" t="inlineStr">
        <is>
          <t>Ghi chú VietGAP</t>
        </is>
      </c>
    </row>
    <row r="5">
      <c r="A5" s="23" t="inlineStr">
        <is>
          <t>2026-11-01</t>
        </is>
      </c>
      <c r="B5" s="24" t="inlineStr">
        <is>
          <t>Ngâm ủ hạt giống dưa lưới</t>
        </is>
      </c>
      <c r="C5" s="24" t="inlineStr">
        <is>
          <t>Lô TL3-F1-088</t>
        </is>
      </c>
      <c r="D5" s="24" t="inlineStr">
        <is>
          <t>2,600 hạt</t>
        </is>
      </c>
      <c r="E5" s="25" t="n">
        <v>96.5</v>
      </c>
      <c r="F5" s="24" t="inlineStr">
        <is>
          <t>Hạt nứt nanh đều, mầm khỏe</t>
        </is>
      </c>
      <c r="G5" s="24" t="inlineStr">
        <is>
          <t>Lê Văn Tám</t>
        </is>
      </c>
      <c r="H5" s="24" t="inlineStr">
        <is>
          <t>Ngâm nước ấm 42°C trong 2.5h, ủ khăn ẩm 24h</t>
        </is>
      </c>
    </row>
    <row r="6">
      <c r="A6" s="23" t="inlineStr">
        <is>
          <t>2026-11-02</t>
        </is>
      </c>
      <c r="B6" s="24" t="inlineStr">
        <is>
          <t>Gieo hạt vào khay ươm</t>
        </is>
      </c>
      <c r="C6" s="24" t="inlineStr">
        <is>
          <t>Khay xốp 50 lỗ</t>
        </is>
      </c>
      <c r="D6" s="24" t="inlineStr">
        <is>
          <t>52 khay (2,600 lỗ)</t>
        </is>
      </c>
      <c r="E6" s="25" t="n">
        <v>96</v>
      </c>
      <c r="F6" s="24" t="inlineStr">
        <is>
          <t>Giá thể mụn dừa mịn thông thoáng</t>
        </is>
      </c>
      <c r="G6" s="24" t="inlineStr">
        <is>
          <t>Nguyễn Thị Mơ</t>
        </is>
      </c>
      <c r="H6" s="24" t="inlineStr">
        <is>
          <t>Gieo 1 hạt/lỗ, phủ lớp mụn dừa mỏng 0.5cm</t>
        </is>
      </c>
    </row>
    <row r="7">
      <c r="A7" s="23" t="inlineStr">
        <is>
          <t>2026-11-08</t>
        </is>
      </c>
      <c r="B7" s="24" t="inlineStr">
        <is>
          <t>Chăm sóc cây con trong nhà ươm</t>
        </is>
      </c>
      <c r="C7" s="24" t="inlineStr">
        <is>
          <t>Lô cây con 7 ngày</t>
        </is>
      </c>
      <c r="D7" s="24" t="inlineStr">
        <is>
          <t>2,550 cây</t>
        </is>
      </c>
      <c r="E7" s="25" t="n">
        <v>98</v>
      </c>
      <c r="F7" s="24" t="inlineStr">
        <is>
          <t>Cây có 1 lá thật, xanh mướt</t>
        </is>
      </c>
      <c r="G7" s="24" t="inlineStr">
        <is>
          <t>Lê Văn Tám</t>
        </is>
      </c>
      <c r="H7" s="24" t="inlineStr">
        <is>
          <t>Phun bổ sung NPK 30-10-10 (1g/L) + Vi lượng</t>
        </is>
      </c>
    </row>
    <row r="8">
      <c r="A8" s="23" t="inlineStr">
        <is>
          <t>2026-11-12</t>
        </is>
      </c>
      <c r="B8" s="24" t="inlineStr">
        <is>
          <t>Trồng cây ra vườn (Ra bầu)</t>
        </is>
      </c>
      <c r="C8" s="24" t="inlineStr">
        <is>
          <t>Bầu PE 40x40cm</t>
        </is>
      </c>
      <c r="D8" s="24" t="inlineStr">
        <is>
          <t>2,500 bầu</t>
        </is>
      </c>
      <c r="E8" s="25" t="n">
        <v>99</v>
      </c>
      <c r="F8" s="24" t="inlineStr">
        <is>
          <t>Cây đạt 2 lá thật, cao 8-10cm</t>
        </is>
      </c>
      <c r="G8" s="24" t="inlineStr">
        <is>
          <t>Đội sản xuất 1</t>
        </is>
      </c>
      <c r="H8" s="24" t="inlineStr">
        <is>
          <t>Trồng hàng đôi, tưới đẫm nước lập tức</t>
        </is>
      </c>
    </row>
    <row r="9">
      <c r="A9" s="23" t="inlineStr">
        <is>
          <t>2026-11-19</t>
        </is>
      </c>
      <c r="B9" s="24" t="inlineStr">
        <is>
          <t>Treo dây cố định &amp; Kẹp gốc</t>
        </is>
      </c>
      <c r="C9" s="24" t="inlineStr">
        <is>
          <t>Lô vườn 1.000m²</t>
        </is>
      </c>
      <c r="D9" s="24" t="inlineStr">
        <is>
          <t>2,500 cây</t>
        </is>
      </c>
      <c r="E9" s="25" t="n">
        <v>100</v>
      </c>
      <c r="F9" s="24" t="inlineStr">
        <is>
          <t>Cây cao 50cm, bắt đầu quấn ngọn</t>
        </is>
      </c>
      <c r="G9" s="24" t="inlineStr">
        <is>
          <t>Lê Văn Tám</t>
        </is>
      </c>
      <c r="H9" s="24" t="inlineStr">
        <is>
          <t>Cố định kẹp nhựa vào cáp treo 2.5m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38" customWidth="1" min="2" max="2"/>
    <col width="35" customWidth="1" min="3" max="3"/>
    <col width="28" customWidth="1" min="4" max="4"/>
    <col width="26" customWidth="1" min="5" max="5"/>
    <col width="19" customWidth="1" min="6" max="6"/>
    <col width="21" customWidth="1" min="7" max="7"/>
    <col width="13" customWidth="1" min="8" max="8"/>
    <col width="20" customWidth="1" min="9" max="9"/>
  </cols>
  <sheetData>
    <row r="1">
      <c r="A1" s="1" t="inlineStr">
        <is>
          <t>NHẬT KÝ SẢN XUẤT VIETGAP - NHATKY BONPHAN</t>
        </is>
      </c>
    </row>
    <row r="2"/>
    <row r="3"/>
    <row r="4" ht="26" customHeight="1">
      <c r="A4" s="18" t="inlineStr">
        <is>
          <t>Ngày bón</t>
        </is>
      </c>
      <c r="B4" s="18" t="inlineStr">
        <is>
          <t>Giai đoạn sinh trưởng</t>
        </is>
      </c>
      <c r="C4" s="18" t="inlineStr">
        <is>
          <t>Tên phân bón</t>
        </is>
      </c>
      <c r="D4" s="18" t="inlineStr">
        <is>
          <t>Nhà sản xuất / Nguồn gốc</t>
        </is>
      </c>
      <c r="E4" s="18" t="inlineStr">
        <is>
          <t>Phương thức bón</t>
        </is>
      </c>
      <c r="F4" s="18" t="inlineStr">
        <is>
          <t>Khối lượng (kg)</t>
        </is>
      </c>
      <c r="G4" s="18" t="inlineStr">
        <is>
          <t>Chỉ số EC (mS/cm)</t>
        </is>
      </c>
      <c r="H4" s="18" t="inlineStr">
        <is>
          <t>Độ pH</t>
        </is>
      </c>
      <c r="I4" s="18" t="inlineStr">
        <is>
          <t>Người thực hiện</t>
        </is>
      </c>
    </row>
    <row r="5">
      <c r="A5" s="23" t="inlineStr">
        <is>
          <t>2026-10-25</t>
        </is>
      </c>
      <c r="B5" s="24" t="inlineStr">
        <is>
          <t>Chuẩn bị giá thể (Bón lót)</t>
        </is>
      </c>
      <c r="C5" s="24" t="inlineStr">
        <is>
          <t>Phân hữu cơ vi sinh ViNa</t>
        </is>
      </c>
      <c r="D5" s="24" t="inlineStr">
        <is>
          <t>Công ty Hữu Cơ Việt</t>
        </is>
      </c>
      <c r="E5" s="24" t="inlineStr">
        <is>
          <t>Trộn trực tiếp giá thể</t>
        </is>
      </c>
      <c r="F5" s="25" t="n">
        <v>50</v>
      </c>
      <c r="G5" s="25" t="n">
        <v>0.4</v>
      </c>
      <c r="H5" s="25" t="n">
        <v>6.5</v>
      </c>
      <c r="I5" s="24" t="inlineStr">
        <is>
          <t>Lê Văn Tám</t>
        </is>
      </c>
    </row>
    <row r="6">
      <c r="A6" s="23" t="inlineStr">
        <is>
          <t>2026-11-13</t>
        </is>
      </c>
      <c r="B6" s="24" t="inlineStr">
        <is>
          <t>Giai đoạn 1 (Trồng - 14 ngày)</t>
        </is>
      </c>
      <c r="C6" s="24" t="inlineStr">
        <is>
          <t>Dung dịch Fertigation A+B (GĐ1)</t>
        </is>
      </c>
      <c r="D6" s="24" t="inlineStr">
        <is>
          <t>Yara / Hà Lan</t>
        </is>
      </c>
      <c r="E6" s="24" t="inlineStr">
        <is>
          <t>Tưới nhỏ giọt bù áp</t>
        </is>
      </c>
      <c r="F6" s="25" t="n">
        <v>2.5</v>
      </c>
      <c r="G6" s="25" t="n">
        <v>1.3</v>
      </c>
      <c r="H6" s="25" t="n">
        <v>6.2</v>
      </c>
      <c r="I6" s="24" t="inlineStr">
        <is>
          <t>Nguyễn Văn Quảng</t>
        </is>
      </c>
    </row>
    <row r="7">
      <c r="A7" s="23" t="inlineStr">
        <is>
          <t>2026-11-20</t>
        </is>
      </c>
      <c r="B7" s="24" t="inlineStr">
        <is>
          <t>Giai đoạn 1 (Trồng - 14 ngày)</t>
        </is>
      </c>
      <c r="C7" s="24" t="inlineStr">
        <is>
          <t>Dung dịch Fertigation A+B (GĐ1)</t>
        </is>
      </c>
      <c r="D7" s="24" t="inlineStr">
        <is>
          <t>Yara / Hà Lan</t>
        </is>
      </c>
      <c r="E7" s="24" t="inlineStr">
        <is>
          <t>Tưới nhỏ giọt bù áp</t>
        </is>
      </c>
      <c r="F7" s="25" t="n">
        <v>3</v>
      </c>
      <c r="G7" s="25" t="n">
        <v>1.4</v>
      </c>
      <c r="H7" s="25" t="n">
        <v>6.3</v>
      </c>
      <c r="I7" s="24" t="inlineStr">
        <is>
          <t>Nguyễn Văn Quảng</t>
        </is>
      </c>
    </row>
    <row r="8">
      <c r="A8" s="23" t="inlineStr">
        <is>
          <t>2026-11-28</t>
        </is>
      </c>
      <c r="B8" s="24" t="inlineStr">
        <is>
          <t>Giai đoạn 2 (Thúc hoa - Thụ phấn)</t>
        </is>
      </c>
      <c r="C8" s="24" t="inlineStr">
        <is>
          <t>Dung dịch Fertigation A+B (GĐ2)</t>
        </is>
      </c>
      <c r="D8" s="24" t="inlineStr">
        <is>
          <t>Yara / Hà Lan</t>
        </is>
      </c>
      <c r="E8" s="24" t="inlineStr">
        <is>
          <t>Tưới nhỏ giọt bù áp</t>
        </is>
      </c>
      <c r="F8" s="25" t="n">
        <v>4.5</v>
      </c>
      <c r="G8" s="25" t="n">
        <v>1.7</v>
      </c>
      <c r="H8" s="25" t="n">
        <v>6.4</v>
      </c>
      <c r="I8" s="24" t="inlineStr">
        <is>
          <t>Nguyễn Văn Quảng</t>
        </is>
      </c>
    </row>
    <row r="9">
      <c r="A9" s="23" t="inlineStr">
        <is>
          <t>2026-12-08</t>
        </is>
      </c>
      <c r="B9" s="24" t="inlineStr">
        <is>
          <t>Giai đoạn 2 (Thúc hoa - Thụ phấn)</t>
        </is>
      </c>
      <c r="C9" s="24" t="inlineStr">
        <is>
          <t>Tăng cường Canxi Ca(NO3)2</t>
        </is>
      </c>
      <c r="D9" s="24" t="inlineStr">
        <is>
          <t>Haifa / Israel</t>
        </is>
      </c>
      <c r="E9" s="24" t="inlineStr">
        <is>
          <t>Tưới nhỏ giọt bù áp</t>
        </is>
      </c>
      <c r="F9" s="25" t="n">
        <v>2</v>
      </c>
      <c r="G9" s="25" t="n">
        <v>1.8</v>
      </c>
      <c r="H9" s="25" t="n">
        <v>6.5</v>
      </c>
      <c r="I9" s="24" t="inlineStr">
        <is>
          <t>Nguyễn Văn Quảng</t>
        </is>
      </c>
    </row>
    <row r="10">
      <c r="A10" s="23" t="inlineStr">
        <is>
          <t>2026-12-18</t>
        </is>
      </c>
      <c r="B10" s="24" t="inlineStr">
        <is>
          <t>Giai đoạn 3 (Nuôi trái - Tạo lưới)</t>
        </is>
      </c>
      <c r="C10" s="24" t="inlineStr">
        <is>
          <t>Dung dịch Fertigation A+B (GĐ3)</t>
        </is>
      </c>
      <c r="D10" s="24" t="inlineStr">
        <is>
          <t>Yara / Hà Lan</t>
        </is>
      </c>
      <c r="E10" s="24" t="inlineStr">
        <is>
          <t>Tưới nhỏ giọt bù áp</t>
        </is>
      </c>
      <c r="F10" s="25" t="n">
        <v>6</v>
      </c>
      <c r="G10" s="25" t="n">
        <v>2.2</v>
      </c>
      <c r="H10" s="25" t="n">
        <v>6.5</v>
      </c>
      <c r="I10" s="24" t="inlineStr">
        <is>
          <t>Nguyễn Văn Quảng</t>
        </is>
      </c>
    </row>
    <row r="11">
      <c r="A11" s="23" t="inlineStr">
        <is>
          <t>2026-12-28</t>
        </is>
      </c>
      <c r="B11" s="24" t="inlineStr">
        <is>
          <t>Giai đoạn 3 (Thúc độ ngọt Brix)</t>
        </is>
      </c>
      <c r="C11" s="24" t="inlineStr">
        <is>
          <t>K2SO4 + KNO3 (Tăng Kali)</t>
        </is>
      </c>
      <c r="D11" s="24" t="inlineStr">
        <is>
          <t>Haifa / Israel</t>
        </is>
      </c>
      <c r="E11" s="24" t="inlineStr">
        <is>
          <t>Tưới nhỏ giọt bù áp</t>
        </is>
      </c>
      <c r="F11" s="25" t="n">
        <v>4</v>
      </c>
      <c r="G11" s="25" t="n">
        <v>2.4</v>
      </c>
      <c r="H11" s="25" t="n">
        <v>6.6</v>
      </c>
      <c r="I11" s="24" t="inlineStr">
        <is>
          <t>Nguyễn Văn Quảng</t>
        </is>
      </c>
    </row>
    <row r="12">
      <c r="A12" s="23" t="inlineStr">
        <is>
          <t>2027-01-08</t>
        </is>
      </c>
      <c r="B12" s="24" t="inlineStr">
        <is>
          <t>Ngưng bón phân (Trước thu 7 ngày)</t>
        </is>
      </c>
      <c r="C12" s="24" t="inlineStr">
        <is>
          <t>Chuyển sang tưới nước sạch</t>
        </is>
      </c>
      <c r="D12" s="24" t="inlineStr">
        <is>
          <t>Nguồn nước giếng đã lọc</t>
        </is>
      </c>
      <c r="E12" s="24" t="inlineStr">
        <is>
          <t>Tưới nhỏ giọt bù áp</t>
        </is>
      </c>
      <c r="F12" s="25" t="n">
        <v>0</v>
      </c>
      <c r="G12" s="25" t="n">
        <v>0.2</v>
      </c>
      <c r="H12" s="25" t="n">
        <v>6.5</v>
      </c>
      <c r="I12" s="24" t="inlineStr">
        <is>
          <t>Nguyễn Văn Quảng</t>
        </is>
      </c>
    </row>
  </sheetData>
  <mergeCells count="1">
    <mergeCell ref="A1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27" customWidth="1" min="2" max="2"/>
    <col width="18" customWidth="1" min="3" max="3"/>
    <col width="33" customWidth="1" min="4" max="4"/>
    <col width="24" customWidth="1" min="5" max="5"/>
    <col width="23" customWidth="1" min="6" max="6"/>
    <col width="14" customWidth="1" min="7" max="7"/>
    <col width="20" customWidth="1" min="8" max="8"/>
    <col width="64" customWidth="1" min="9" max="9"/>
    <col width="14" customWidth="1" min="10" max="10"/>
  </cols>
  <sheetData>
    <row r="1">
      <c r="A1" s="1" t="inlineStr">
        <is>
          <t>NHẬT KÝ SỬ DỤNG THUỐC BVTV &amp; KIỂM SOÁT THỜI GIAN CÁCH LY PHI VIETGAP</t>
        </is>
      </c>
    </row>
    <row r="2"/>
    <row r="3"/>
    <row r="4" ht="26" customHeight="1">
      <c r="A4" s="18" t="inlineStr">
        <is>
          <t>Ngày phun</t>
        </is>
      </c>
      <c r="B4" s="18" t="inlineStr">
        <is>
          <t>Dịch hại mục tiêu</t>
        </is>
      </c>
      <c r="C4" s="18" t="inlineStr">
        <is>
          <t>Tên thuốc BVTV</t>
        </is>
      </c>
      <c r="D4" s="18" t="inlineStr">
        <is>
          <t>Hoạt chất đăng ký</t>
        </is>
      </c>
      <c r="E4" s="18" t="inlineStr">
        <is>
          <t>Liều lượng / Nồng độ</t>
        </is>
      </c>
      <c r="F4" s="18" t="inlineStr">
        <is>
          <t>Diện tích phun (m²)</t>
        </is>
      </c>
      <c r="G4" s="18" t="inlineStr">
        <is>
          <t>PHI (Ngày)</t>
        </is>
      </c>
      <c r="H4" s="18" t="inlineStr">
        <is>
          <t>Ngày hết cách ly</t>
        </is>
      </c>
      <c r="I4" s="18" t="inlineStr">
        <is>
          <t>Cảnh báo PHI VietGAP</t>
        </is>
      </c>
      <c r="J4" s="18" t="inlineStr">
        <is>
          <t>Người phun</t>
        </is>
      </c>
    </row>
    <row r="5">
      <c r="A5" s="23" t="inlineStr">
        <is>
          <t>2026-11-08</t>
        </is>
      </c>
      <c r="B5" s="24" t="inlineStr">
        <is>
          <t>Bọ trĩ, Bọ phấn con</t>
        </is>
      </c>
      <c r="C5" s="24" t="inlineStr">
        <is>
          <t>Actara 25WG</t>
        </is>
      </c>
      <c r="D5" s="24" t="inlineStr">
        <is>
          <t>Thiamethoxam</t>
        </is>
      </c>
      <c r="E5" s="24" t="inlineStr">
        <is>
          <t>1g / 8 lít nước</t>
        </is>
      </c>
      <c r="F5" s="24" t="n">
        <v>100</v>
      </c>
      <c r="G5" s="23" t="n">
        <v>7</v>
      </c>
      <c r="H5" s="26">
        <f>A5+G5</f>
        <v/>
      </c>
      <c r="I5" s="22">
        <f>IF(H5&gt;DATE(2027,1,15), "CẢNH BÁO - CHƯA ĐỦ PHI", "AN TOÀN")</f>
        <v/>
      </c>
      <c r="J5" s="23" t="inlineStr">
        <is>
          <t>Lê Văn Tám</t>
        </is>
      </c>
    </row>
    <row r="6">
      <c r="A6" s="23" t="inlineStr">
        <is>
          <t>2026-11-22</t>
        </is>
      </c>
      <c r="B6" s="24" t="inlineStr">
        <is>
          <t>Bọ trĩ chích hút ngọn</t>
        </is>
      </c>
      <c r="C6" s="24" t="inlineStr">
        <is>
          <t>Radiant 60SC</t>
        </is>
      </c>
      <c r="D6" s="24" t="inlineStr">
        <is>
          <t>Spinetoram</t>
        </is>
      </c>
      <c r="E6" s="24" t="inlineStr">
        <is>
          <t>15ml / 16 lít nước</t>
        </is>
      </c>
      <c r="F6" s="24" t="n">
        <v>1000</v>
      </c>
      <c r="G6" s="23" t="n">
        <v>5</v>
      </c>
      <c r="H6" s="26">
        <f>A6+G6</f>
        <v/>
      </c>
      <c r="I6" s="22">
        <f>IF(H6&gt;DATE(2027,1,15), "CẢNH BÁO - CHƯA ĐỦ PHI", "AN TOÀN")</f>
        <v/>
      </c>
      <c r="J6" s="23" t="inlineStr">
        <is>
          <t>Lê Văn Tám</t>
        </is>
      </c>
    </row>
    <row r="7">
      <c r="A7" s="23" t="inlineStr">
        <is>
          <t>2026-12-05</t>
        </is>
      </c>
      <c r="B7" s="24" t="inlineStr">
        <is>
          <t>Bệnh phấn trắng chớm bị</t>
        </is>
      </c>
      <c r="C7" s="24" t="inlineStr">
        <is>
          <t>Score 250EC</t>
        </is>
      </c>
      <c r="D7" s="24" t="inlineStr">
        <is>
          <t>Difenoconazole</t>
        </is>
      </c>
      <c r="E7" s="24" t="inlineStr">
        <is>
          <t>10ml / 16 lít nước</t>
        </is>
      </c>
      <c r="F7" s="24" t="n">
        <v>1000</v>
      </c>
      <c r="G7" s="23" t="n">
        <v>7</v>
      </c>
      <c r="H7" s="26">
        <f>A7+G7</f>
        <v/>
      </c>
      <c r="I7" s="22">
        <f>IF(H7&gt;DATE(2027,1,15), "CẢNH BÁO - CHƯA ĐỦ PHI", "AN TOÀN")</f>
        <v/>
      </c>
      <c r="J7" s="23" t="inlineStr">
        <is>
          <t>Lê Văn Tám</t>
        </is>
      </c>
    </row>
    <row r="8">
      <c r="A8" s="23" t="inlineStr">
        <is>
          <t>2026-12-20</t>
        </is>
      </c>
      <c r="B8" s="24" t="inlineStr">
        <is>
          <t>Phòng giả sương mai</t>
        </is>
      </c>
      <c r="C8" s="24" t="inlineStr">
        <is>
          <t>MAP Green 10AS</t>
        </is>
      </c>
      <c r="D8" s="24" t="inlineStr">
        <is>
          <t>Citrus oil (Dầu cam sinh học)</t>
        </is>
      </c>
      <c r="E8" s="24" t="inlineStr">
        <is>
          <t>20ml / 16 lít nước</t>
        </is>
      </c>
      <c r="F8" s="24" t="n">
        <v>1000</v>
      </c>
      <c r="G8" s="23" t="n">
        <v>3</v>
      </c>
      <c r="H8" s="26">
        <f>A8+G8</f>
        <v/>
      </c>
      <c r="I8" s="22">
        <f>IF(H8&gt;DATE(2027,1,15), "CẢNH BÁO - CHƯA ĐỦ PHI", "AN TOÀN")</f>
        <v/>
      </c>
      <c r="J8" s="23" t="inlineStr">
        <is>
          <t>Lê Văn Tám</t>
        </is>
      </c>
    </row>
  </sheetData>
  <mergeCells count="1">
    <mergeCell ref="A1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8" customWidth="1" min="2" max="2"/>
    <col width="22" customWidth="1" min="3" max="3"/>
    <col width="29" customWidth="1" min="4" max="4"/>
    <col width="26" customWidth="1" min="5" max="5"/>
    <col width="23" customWidth="1" min="6" max="6"/>
    <col width="22" customWidth="1" min="7" max="7"/>
    <col width="18" customWidth="1" min="8" max="8"/>
  </cols>
  <sheetData>
    <row r="1">
      <c r="A1" s="1" t="inlineStr">
        <is>
          <t>NHẬT KÝ SẢN XUẤT VIETGAP - NHATKY TUOINUOC</t>
        </is>
      </c>
    </row>
    <row r="2"/>
    <row r="3"/>
    <row r="4" ht="26" customHeight="1">
      <c r="A4" s="18" t="inlineStr">
        <is>
          <t>Ngày tưới</t>
        </is>
      </c>
      <c r="B4" s="18" t="inlineStr">
        <is>
          <t>Giai đoạn cây</t>
        </is>
      </c>
      <c r="C4" s="18" t="inlineStr">
        <is>
          <t>Số lần tưới / ngày</t>
        </is>
      </c>
      <c r="D4" s="18" t="inlineStr">
        <is>
          <t>Lượng nước (Lít/bầu/ngày)</t>
        </is>
      </c>
      <c r="E4" s="18" t="inlineStr">
        <is>
          <t>Nhiệt độ nhà màng (°C)</t>
        </is>
      </c>
      <c r="F4" s="18" t="inlineStr">
        <is>
          <t>Độ ẩm không khí (%)</t>
        </is>
      </c>
      <c r="G4" s="18" t="inlineStr">
        <is>
          <t>EC xả thải (mS/cm)</t>
        </is>
      </c>
      <c r="H4" s="18" t="inlineStr">
        <is>
          <t>Người vận hành</t>
        </is>
      </c>
    </row>
    <row r="5">
      <c r="A5" s="23" t="inlineStr">
        <is>
          <t>2026-11-13</t>
        </is>
      </c>
      <c r="B5" s="24" t="inlineStr">
        <is>
          <t>Mới ra bầu (1-7 ngày)</t>
        </is>
      </c>
      <c r="C5" s="27" t="n">
        <v>10</v>
      </c>
      <c r="D5" s="25" t="n">
        <v>0.8</v>
      </c>
      <c r="E5" s="25" t="n">
        <v>28.5</v>
      </c>
      <c r="F5" s="27" t="n">
        <v>65</v>
      </c>
      <c r="G5" s="25" t="n">
        <v>1.1</v>
      </c>
      <c r="H5" s="24" t="inlineStr">
        <is>
          <t>Lê Văn Tám</t>
        </is>
      </c>
    </row>
    <row r="6">
      <c r="A6" s="23" t="inlineStr">
        <is>
          <t>2026-11-25</t>
        </is>
      </c>
      <c r="B6" s="24" t="inlineStr">
        <is>
          <t>Thúc cành nhánh (15-25 ngày)</t>
        </is>
      </c>
      <c r="C6" s="27" t="n">
        <v>12</v>
      </c>
      <c r="D6" s="25" t="n">
        <v>1.5</v>
      </c>
      <c r="E6" s="25" t="n">
        <v>30</v>
      </c>
      <c r="F6" s="27" t="n">
        <v>60</v>
      </c>
      <c r="G6" s="25" t="n">
        <v>1.4</v>
      </c>
      <c r="H6" s="24" t="inlineStr">
        <is>
          <t>Lê Văn Tám</t>
        </is>
      </c>
    </row>
    <row r="7">
      <c r="A7" s="23" t="inlineStr">
        <is>
          <t>2026-12-10</t>
        </is>
      </c>
      <c r="B7" s="24" t="inlineStr">
        <is>
          <t>Thụ phấn &amp; Đậu trái</t>
        </is>
      </c>
      <c r="C7" s="27" t="n">
        <v>14</v>
      </c>
      <c r="D7" s="25" t="n">
        <v>1.8</v>
      </c>
      <c r="E7" s="25" t="n">
        <v>29</v>
      </c>
      <c r="F7" s="27" t="n">
        <v>55</v>
      </c>
      <c r="G7" s="25" t="n">
        <v>1.6</v>
      </c>
      <c r="H7" s="24" t="inlineStr">
        <is>
          <t>Lê Văn Tám</t>
        </is>
      </c>
    </row>
    <row r="8">
      <c r="A8" s="23" t="inlineStr">
        <is>
          <t>2026-12-25</t>
        </is>
      </c>
      <c r="B8" s="24" t="inlineStr">
        <is>
          <t>Nuôi trái &amp; Phình lưới</t>
        </is>
      </c>
      <c r="C8" s="27" t="n">
        <v>16</v>
      </c>
      <c r="D8" s="25" t="n">
        <v>2.2</v>
      </c>
      <c r="E8" s="25" t="n">
        <v>31</v>
      </c>
      <c r="F8" s="27" t="n">
        <v>52</v>
      </c>
      <c r="G8" s="25" t="n">
        <v>1.9</v>
      </c>
      <c r="H8" s="24" t="inlineStr">
        <is>
          <t>Lê Văn Tám</t>
        </is>
      </c>
    </row>
    <row r="9">
      <c r="A9" s="23" t="inlineStr">
        <is>
          <t>2027-01-10</t>
        </is>
      </c>
      <c r="B9" s="24" t="inlineStr">
        <is>
          <t>Ngưng tưới nước (Trước thu 5 ngày)</t>
        </is>
      </c>
      <c r="C9" s="27" t="n">
        <v>0</v>
      </c>
      <c r="D9" s="25" t="n">
        <v>0</v>
      </c>
      <c r="E9" s="25" t="n">
        <v>31.5</v>
      </c>
      <c r="F9" s="27" t="n">
        <v>50</v>
      </c>
      <c r="G9" s="25" t="n">
        <v>0.3</v>
      </c>
      <c r="H9" s="24" t="inlineStr">
        <is>
          <t>Lê Văn Tám</t>
        </is>
      </c>
    </row>
  </sheetData>
  <mergeCells count="1">
    <mergeCell ref="A1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19" customWidth="1" min="2" max="2"/>
    <col width="23" customWidth="1" min="3" max="3"/>
    <col width="18" customWidth="1" min="4" max="4"/>
    <col width="28" customWidth="1" min="5" max="5"/>
    <col width="19" customWidth="1" min="6" max="6"/>
    <col width="33" customWidth="1" min="7" max="7"/>
    <col width="29" customWidth="1" min="8" max="8"/>
  </cols>
  <sheetData>
    <row r="1">
      <c r="A1" s="1" t="inlineStr">
        <is>
          <t>NHẬT KÝ THU HOẠCH DƯA LƯỚI &amp; ĐÁNH GIÁ CHẤT LƯỢNG SẢN PHẨM VIETGAP</t>
        </is>
      </c>
    </row>
    <row r="2"/>
    <row r="3"/>
    <row r="4" ht="26" customHeight="1">
      <c r="A4" s="18" t="inlineStr">
        <is>
          <t>Ngày thu hoạch</t>
        </is>
      </c>
      <c r="B4" s="18" t="inlineStr">
        <is>
          <t>Mã lô thu hoạch</t>
        </is>
      </c>
      <c r="C4" s="18" t="inlineStr">
        <is>
          <t>Số lượng quả (Trái)</t>
        </is>
      </c>
      <c r="D4" s="18" t="inlineStr">
        <is>
          <t>Sản lượng (Kg)</t>
        </is>
      </c>
      <c r="E4" s="18" t="inlineStr">
        <is>
          <t>Trọng lượng TB (Kg/trái)</t>
        </is>
      </c>
      <c r="F4" s="18" t="inlineStr">
        <is>
          <t>Độ ngọt (°Brix)</t>
        </is>
      </c>
      <c r="G4" s="18" t="inlineStr">
        <is>
          <t>Phân loại chất lượng</t>
        </is>
      </c>
      <c r="H4" s="18" t="inlineStr">
        <is>
          <t>Đơn vị thu mua / Tiêu thụ</t>
        </is>
      </c>
    </row>
    <row r="5">
      <c r="A5" s="23" t="inlineStr">
        <is>
          <t>2027-01-15</t>
        </is>
      </c>
      <c r="B5" s="23" t="inlineStr">
        <is>
          <t>LÔ-TL3-01</t>
        </is>
      </c>
      <c r="C5" s="27" t="n">
        <v>800</v>
      </c>
      <c r="D5" s="25" t="n">
        <v>1280</v>
      </c>
      <c r="E5" s="28">
        <f>D5/C5</f>
        <v/>
      </c>
      <c r="F5" s="29" t="n">
        <v>13.5</v>
      </c>
      <c r="G5" s="23" t="inlineStr">
        <is>
          <t>Loại 1 (Xuất khẩu / Siêu thị)</t>
        </is>
      </c>
      <c r="H5" s="24" t="inlineStr">
        <is>
          <t>Co.opmart TP.HCM</t>
        </is>
      </c>
    </row>
    <row r="6">
      <c r="A6" s="23" t="inlineStr">
        <is>
          <t>2027-01-16</t>
        </is>
      </c>
      <c r="B6" s="23" t="inlineStr">
        <is>
          <t>LÔ-TL3-02</t>
        </is>
      </c>
      <c r="C6" s="27" t="n">
        <v>1200</v>
      </c>
      <c r="D6" s="25" t="n">
        <v>1860</v>
      </c>
      <c r="E6" s="28">
        <f>D6/C6</f>
        <v/>
      </c>
      <c r="F6" s="29" t="n">
        <v>14</v>
      </c>
      <c r="G6" s="23" t="inlineStr">
        <is>
          <t>Loại 1 (Xuất khẩu / Siêu thị)</t>
        </is>
      </c>
      <c r="H6" s="24" t="inlineStr">
        <is>
          <t>Cửa hàng Nông sản An Toàn</t>
        </is>
      </c>
    </row>
    <row r="7">
      <c r="A7" s="23" t="inlineStr">
        <is>
          <t>2027-01-17</t>
        </is>
      </c>
      <c r="B7" s="23" t="inlineStr">
        <is>
          <t>LÔ-TL3-03</t>
        </is>
      </c>
      <c r="C7" s="27" t="n">
        <v>400</v>
      </c>
      <c r="D7" s="25" t="n">
        <v>520</v>
      </c>
      <c r="E7" s="28">
        <f>D7/C7</f>
        <v/>
      </c>
      <c r="F7" s="29" t="n">
        <v>12.5</v>
      </c>
      <c r="G7" s="23" t="inlineStr">
        <is>
          <t>Loại 2 (Chợ đầu mối / Dân cư)</t>
        </is>
      </c>
      <c r="H7" s="24" t="inlineStr">
        <is>
          <t>Thương lái Củ Chi</t>
        </is>
      </c>
    </row>
  </sheetData>
  <mergeCells count="1">
    <mergeCell ref="A1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46" customWidth="1" min="2" max="2"/>
    <col width="20" customWidth="1" min="3" max="3"/>
    <col width="38" customWidth="1" min="4" max="4"/>
    <col width="60" customWidth="1" min="5" max="5"/>
    <col width="20" customWidth="1" min="6" max="6"/>
    <col width="20" customWidth="1" min="7" max="7"/>
  </cols>
  <sheetData>
    <row r="1">
      <c r="A1" s="1" t="inlineStr">
        <is>
          <t>NHẬT KÝ SẢN XUẤT VIETGAP - SUCO KHACPHUC</t>
        </is>
      </c>
    </row>
    <row r="2"/>
    <row r="3"/>
    <row r="4" ht="26" customHeight="1">
      <c r="A4" s="18" t="inlineStr">
        <is>
          <t>Ngày phát sinh</t>
        </is>
      </c>
      <c r="B4" s="18" t="inlineStr">
        <is>
          <t>Mô tả sự cố / Bất thường</t>
        </is>
      </c>
      <c r="C4" s="18" t="inlineStr">
        <is>
          <t>Mức độ ảnh hưởng</t>
        </is>
      </c>
      <c r="D4" s="18" t="inlineStr">
        <is>
          <t>Nguyên nhân xác định</t>
        </is>
      </c>
      <c r="E4" s="18" t="inlineStr">
        <is>
          <t>Biện pháp khắc phục đã xử lý</t>
        </is>
      </c>
      <c r="F4" s="18" t="inlineStr">
        <is>
          <t>Người phụ trách</t>
        </is>
      </c>
      <c r="G4" s="18" t="inlineStr">
        <is>
          <t>Trạng thái xử lý</t>
        </is>
      </c>
    </row>
    <row r="5">
      <c r="A5" s="23" t="inlineStr">
        <is>
          <t>2026-11-20</t>
        </is>
      </c>
      <c r="B5" s="24" t="inlineStr">
        <is>
          <t>Tắc 3 đầu nhỏ giọt tại hàng 4</t>
        </is>
      </c>
      <c r="C5" s="24" t="inlineStr">
        <is>
          <t>Nhẹ (Cục bộ)</t>
        </is>
      </c>
      <c r="D5" s="24" t="inlineStr">
        <is>
          <t>Cặn cặn dinh dưỡng đóng vôi</t>
        </is>
      </c>
      <c r="E5" s="24" t="inlineStr">
        <is>
          <t>Tháo vòi ngâm dung dịch acid citric loãng, xả rửa vòi</t>
        </is>
      </c>
      <c r="F5" s="24" t="inlineStr">
        <is>
          <t>Lê Văn Tám</t>
        </is>
      </c>
      <c r="G5" s="24" t="inlineStr">
        <is>
          <t>Đã hoàn thành</t>
        </is>
      </c>
    </row>
    <row r="6">
      <c r="A6" s="23" t="inlineStr">
        <is>
          <t>2026-12-03</t>
        </is>
      </c>
      <c r="B6" s="24" t="inlineStr">
        <is>
          <t>Xuất hiện vết nấm phấn trắng rải rác 5 cây</t>
        </is>
      </c>
      <c r="C6" s="24" t="inlineStr">
        <is>
          <t>Trung bình</t>
        </is>
      </c>
      <c r="D6" s="24" t="inlineStr">
        <is>
          <t>Độ ẩm đêm tăng cao do mưa cuối mùa</t>
        </is>
      </c>
      <c r="E6" s="24" t="inlineStr">
        <is>
          <t>Cắt tỉa lá bệnh, phun cục bộ Score 250EC, tăng thông gió</t>
        </is>
      </c>
      <c r="F6" s="24" t="inlineStr">
        <is>
          <t>Lê Văn Tám</t>
        </is>
      </c>
      <c r="G6" s="24" t="inlineStr">
        <is>
          <t>Đã hoàn thành</t>
        </is>
      </c>
    </row>
    <row r="7">
      <c r="A7" s="23" t="inlineStr">
        <is>
          <t>2026-12-22</t>
        </is>
      </c>
      <c r="B7" s="24" t="inlineStr">
        <is>
          <t>Quạt đối lưu nhà màng phát tiếng ồn lớn</t>
        </is>
      </c>
      <c r="C7" s="24" t="inlineStr">
        <is>
          <t>Nhẹ</t>
        </is>
      </c>
      <c r="D7" s="24" t="inlineStr">
        <is>
          <t>Hỏng ổ bi quạt thông gió số 2</t>
        </is>
      </c>
      <c r="E7" s="24" t="inlineStr">
        <is>
          <t>Thay ổ bi mới, tra mỡ bảo dưỡng hệ thống điện</t>
        </is>
      </c>
      <c r="F7" s="24" t="inlineStr">
        <is>
          <t>Nguyễn Văn Quảng</t>
        </is>
      </c>
      <c r="G7" s="24" t="inlineStr">
        <is>
          <t>Đã hoàn thành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2026-10-25T04:54:07Z</dcterms:created>
  <dcterms:modified xmlns:dcterms="http://purl.org/dc/terms/" xmlns:xsi="http://www.w3.org/2001/XMLSchema-instance" xsi:type="dcterms:W3CDTF">2026-10-25T04:54:07Z</dcterms:modified>
</cp:coreProperties>
</file>