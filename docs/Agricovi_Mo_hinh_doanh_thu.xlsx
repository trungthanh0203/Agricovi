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riCo\docs\"/>
    </mc:Choice>
  </mc:AlternateContent>
  <xr:revisionPtr revIDLastSave="0" documentId="13_ncr:1_{CBDE9AC0-E9A8-46C0-B99E-C895AEAD50B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Hướng dẫn" sheetId="1" r:id="rId1"/>
    <sheet name="Giả định" sheetId="2" r:id="rId2"/>
    <sheet name="Dự phóng" sheetId="3" r:id="rId3"/>
  </sheets>
  <calcPr calcId="191029"/>
</workbook>
</file>

<file path=xl/calcChain.xml><?xml version="1.0" encoding="utf-8"?>
<calcChain xmlns="http://schemas.openxmlformats.org/spreadsheetml/2006/main">
  <c r="D16" i="3" l="1"/>
  <c r="C16" i="3"/>
  <c r="B16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D14" i="3" s="1"/>
  <c r="C9" i="3"/>
  <c r="C14" i="3" s="1"/>
  <c r="B9" i="3"/>
  <c r="B14" i="3" s="1"/>
  <c r="B7" i="3"/>
  <c r="D5" i="3"/>
  <c r="D7" i="3" s="1"/>
  <c r="C5" i="3"/>
  <c r="C7" i="3" s="1"/>
  <c r="B5" i="3"/>
  <c r="D4" i="3"/>
  <c r="D6" i="3" s="1"/>
  <c r="C4" i="3"/>
  <c r="C6" i="3" s="1"/>
  <c r="B4" i="3"/>
  <c r="B6" i="3" s="1"/>
  <c r="C8" i="3" l="1"/>
  <c r="C15" i="3" s="1"/>
  <c r="C17" i="3" s="1"/>
  <c r="B8" i="3"/>
  <c r="B15" i="3" s="1"/>
  <c r="C18" i="3"/>
  <c r="D8" i="3"/>
  <c r="D15" i="3" s="1"/>
  <c r="B17" i="3" l="1"/>
  <c r="B18" i="3"/>
  <c r="D18" i="3"/>
  <c r="D17" i="3"/>
</calcChain>
</file>

<file path=xl/sharedStrings.xml><?xml version="1.0" encoding="utf-8"?>
<sst xmlns="http://schemas.openxmlformats.org/spreadsheetml/2006/main" count="84" uniqueCount="70">
  <si>
    <t>Agricovi – Mô hình doanh thu (bản để nhà đầu tư tự đổi giả định)</t>
  </si>
  <si>
    <t>Cách dùng</t>
  </si>
  <si>
    <t>1. Mở trang 'Giả định'. Chỉ sửa các ô màu vàng.</t>
  </si>
  <si>
    <t>2. Trang 'Dự phóng' tự tính lại doanh thu 3 năm, chi phí và lợi nhuận.</t>
  </si>
  <si>
    <t>3. Giá thuê bao (4 gói) lấy theo quyết định D4 của chủ sản phẩm. Các nguồn thu còn lại chưa chốt giá nên để 0, hãy điền thử.</t>
  </si>
  <si>
    <t>Lưu ý</t>
  </si>
  <si>
    <t>- Số lượng khách các năm là GIẢ ĐỊNH để thảo luận, không phải số liệu thực tế hay cam kết.</t>
  </si>
  <si>
    <t>- Doanh thu thuê bao tính theo 'quy năm': số khách cuối năm nhân giá cả năm (run-rate), chưa chia theo tháng bắt đầu.</t>
  </si>
  <si>
    <t>- Chưa tính thuế, chiết khấu, khách dùng thử miễn phí 1 tháng, khách rời bỏ giữa năm.</t>
  </si>
  <si>
    <t>- Các dòng chi phí để 0 vì chưa có ngân sách; điền vào để xem lợi nhuận. Nếu để 0, lợi nhuận bằng doanh thu và KHÔNG phản ánh thực tế.</t>
  </si>
  <si>
    <t>GIẢ ĐỊNH (chỉ sửa ô màu vàng)</t>
  </si>
  <si>
    <t>1. Giá thuê bao (đồng mỗi quý) – theo quyết định D4</t>
  </si>
  <si>
    <t>Gói</t>
  </si>
  <si>
    <t>Giá/quý</t>
  </si>
  <si>
    <t>Số vụ</t>
  </si>
  <si>
    <t>Ghi chú</t>
  </si>
  <si>
    <t>Hộ cơ bản</t>
  </si>
  <si>
    <t>Dùng thử 1 tháng, sau đó thu theo quý</t>
  </si>
  <si>
    <t>Hộ nâng cao</t>
  </si>
  <si>
    <t>HTX cơ bản</t>
  </si>
  <si>
    <t>HTX nâng cao</t>
  </si>
  <si>
    <t>2. Cơ cấu gói</t>
  </si>
  <si>
    <t>Tỷ lệ hộ chọn gói nâng cao</t>
  </si>
  <si>
    <t>Tỷ lệ HTX chọn gói nâng cao</t>
  </si>
  <si>
    <t>3. Số khách trả phí cuối năm (giả định)</t>
  </si>
  <si>
    <t>Chỉ tiêu</t>
  </si>
  <si>
    <t>Năm 1</t>
  </si>
  <si>
    <t>Năm 2</t>
  </si>
  <si>
    <t>Năm 3</t>
  </si>
  <si>
    <t>Hộ trả phí</t>
  </si>
  <si>
    <t>Thay bằng số liệu thí điểm khi có</t>
  </si>
  <si>
    <t>HTX trả phí</t>
  </si>
  <si>
    <t>4. Nguồn thu từ website (chưa chốt giá, điền thử)</t>
  </si>
  <si>
    <t>Số cơ sở mua gói ưu tiên hiển thị</t>
  </si>
  <si>
    <t>Phí ưu tiên hiển thị (đồng/cơ sở/năm)</t>
  </si>
  <si>
    <t>Số nhà cung cấp mở gian hàng vật tư</t>
  </si>
  <si>
    <t>Phí gian hàng (đồng/gian hàng/năm)</t>
  </si>
  <si>
    <t>Doanh thu quảng cáo, tin tài trợ (đồng/năm)</t>
  </si>
  <si>
    <t>Nhập tổng số</t>
  </si>
  <si>
    <t>Giá trị đơn hàng giao thương qua website (đồng/năm)</t>
  </si>
  <si>
    <t>Chỉ khi đã có tư vấn pháp lý</t>
  </si>
  <si>
    <t>Tỷ lệ hoa hồng trên đơn</t>
  </si>
  <si>
    <t>Doanh thu dữ liệu và dịch vụ liên kết (đồng/năm)</t>
  </si>
  <si>
    <t>Dài hạn</t>
  </si>
  <si>
    <t>5. Chi phí hằng năm (đồng) – điền để xem lợi nhuận</t>
  </si>
  <si>
    <t>Khoản chi</t>
  </si>
  <si>
    <t>Nhân sự</t>
  </si>
  <si>
    <t>Đang để 0: lợi nhuận chưa phản ánh thực tế</t>
  </si>
  <si>
    <t>Marketing và bán hàng</t>
  </si>
  <si>
    <t>Hạ tầng máy chủ, phần mềm</t>
  </si>
  <si>
    <t>Hỗ trợ khách, đào tạo</t>
  </si>
  <si>
    <t>Pháp lý, tuân thủ</t>
  </si>
  <si>
    <t>Chi khác</t>
  </si>
  <si>
    <t>DỰ PHÓNG DOANH THU 3 NĂM (đồng, tự tính)</t>
  </si>
  <si>
    <t>Giá bình quân hộ (đồng/năm)</t>
  </si>
  <si>
    <t>Giá bình quân HTX (đồng/năm)</t>
  </si>
  <si>
    <t>Thuê bao hộ</t>
  </si>
  <si>
    <t>Thuê bao HTX</t>
  </si>
  <si>
    <t>Tổng thuê bao app</t>
  </si>
  <si>
    <t>Ưu tiên hiển thị</t>
  </si>
  <si>
    <t>Gian hàng vật tư</t>
  </si>
  <si>
    <t>Quảng cáo, tin tài trợ</t>
  </si>
  <si>
    <t>Hoa hồng giao thương</t>
  </si>
  <si>
    <t>Dữ liệu và dịch vụ liên kết</t>
  </si>
  <si>
    <t>Tổng nguồn thu website và khác</t>
  </si>
  <si>
    <t>TỔNG DOANH THU</t>
  </si>
  <si>
    <t>Tổng chi phí</t>
  </si>
  <si>
    <t>LỢI NHUẬN (trước thuế)</t>
  </si>
  <si>
    <t>Thuê bao app chiếm trong tổng doanh thu</t>
  </si>
  <si>
    <t>Lưu ý: số khách là giả định. Chi phí đang để 0 nên lợi nhuận bằng doanh thu cho đến khi bạn điền vào trang 'Giả định'.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</si>
</sst>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4"/>
      <color rgb="FF10281D"/>
      <name val="Calibri"/>
    </font>
    <font>
      <b/>
      <sz val="11"/>
      <color rgb="FF10281D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3EDE6"/>
      </patternFill>
    </fill>
    <fill>
      <patternFill patternType="solid">
        <fgColor rgb="FF10281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9C9BC"/>
      </left>
      <right style="thin">
        <color rgb="FFC9C9BC"/>
      </right>
      <top style="thin">
        <color rgb="FFC9C9BC"/>
      </top>
      <bottom style="thin">
        <color rgb="FFC9C9B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6" fillId="3" borderId="0" xfId="0" applyFont="1" applyFill="1" applyAlignment="1">
      <alignment horizontal="center" vertical="center" wrapText="1"/>
    </xf>
    <xf numFmtId="3" fontId="0" fillId="4" borderId="1" xfId="0" applyNumberFormat="1" applyFill="1" applyBorder="1"/>
    <xf numFmtId="9" fontId="0" fillId="4" borderId="1" xfId="0" applyNumberFormat="1" applyFill="1" applyBorder="1"/>
    <xf numFmtId="3" fontId="0" fillId="0" borderId="0" xfId="0" applyNumberFormat="1"/>
    <xf numFmtId="0" fontId="7" fillId="2" borderId="0" xfId="0" applyFont="1" applyFill="1"/>
    <xf numFmtId="3" fontId="7" fillId="2" borderId="0" xfId="0" applyNumberFormat="1" applyFont="1" applyFill="1"/>
    <xf numFmtId="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5"/>
  <cols>
    <col min="1" max="1" width="110" customWidth="1"/>
  </cols>
  <sheetData>
    <row r="1" spans="1:1" ht="18.75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>
      <c r="A5" s="2" t="s">
        <v>3</v>
      </c>
    </row>
    <row r="6" spans="1:1" ht="30">
      <c r="A6" s="2" t="s">
        <v>4</v>
      </c>
    </row>
    <row r="7" spans="1:1">
      <c r="A7" s="2"/>
    </row>
    <row r="8" spans="1:1">
      <c r="A8" s="3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 ht="30">
      <c r="A12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opLeftCell="A11" workbookViewId="0">
      <selection activeCell="D18" sqref="D18"/>
    </sheetView>
  </sheetViews>
  <sheetFormatPr defaultRowHeight="15"/>
  <cols>
    <col min="1" max="1" width="52" customWidth="1"/>
    <col min="2" max="4" width="18" customWidth="1"/>
    <col min="5" max="5" width="60" customWidth="1"/>
  </cols>
  <sheetData>
    <row r="1" spans="1:5" ht="18.75">
      <c r="A1" s="4" t="s">
        <v>10</v>
      </c>
    </row>
    <row r="3" spans="1:5">
      <c r="A3" s="5" t="s">
        <v>11</v>
      </c>
      <c r="B3" s="6"/>
      <c r="C3" s="6"/>
      <c r="D3" s="6"/>
      <c r="E3" s="6"/>
    </row>
    <row r="4" spans="1:5">
      <c r="A4" s="7" t="s">
        <v>12</v>
      </c>
      <c r="B4" s="7" t="s">
        <v>13</v>
      </c>
      <c r="C4" s="7" t="s">
        <v>14</v>
      </c>
      <c r="D4" s="7"/>
      <c r="E4" s="7" t="s">
        <v>15</v>
      </c>
    </row>
    <row r="5" spans="1:5">
      <c r="A5" t="s">
        <v>16</v>
      </c>
      <c r="B5" s="8">
        <v>600000</v>
      </c>
      <c r="C5">
        <v>3</v>
      </c>
      <c r="E5" t="s">
        <v>17</v>
      </c>
    </row>
    <row r="6" spans="1:5">
      <c r="A6" t="s">
        <v>18</v>
      </c>
      <c r="B6" s="8">
        <v>900000</v>
      </c>
      <c r="C6">
        <v>5</v>
      </c>
    </row>
    <row r="7" spans="1:5">
      <c r="A7" t="s">
        <v>19</v>
      </c>
      <c r="B7" s="8">
        <v>1500000</v>
      </c>
      <c r="C7">
        <v>10</v>
      </c>
    </row>
    <row r="8" spans="1:5">
      <c r="A8" t="s">
        <v>20</v>
      </c>
      <c r="B8" s="8">
        <v>3000000</v>
      </c>
      <c r="C8">
        <v>25</v>
      </c>
    </row>
    <row r="10" spans="1:5">
      <c r="A10" s="5" t="s">
        <v>21</v>
      </c>
      <c r="B10" s="6"/>
      <c r="C10" s="6"/>
      <c r="D10" s="6"/>
      <c r="E10" s="6"/>
    </row>
    <row r="11" spans="1:5">
      <c r="A11" t="s">
        <v>22</v>
      </c>
      <c r="B11" s="9">
        <v>0.5</v>
      </c>
    </row>
    <row r="12" spans="1:5">
      <c r="A12" t="s">
        <v>23</v>
      </c>
      <c r="B12" s="9">
        <v>0.5</v>
      </c>
    </row>
    <row r="14" spans="1:5">
      <c r="A14" s="5" t="s">
        <v>24</v>
      </c>
      <c r="B14" s="6"/>
      <c r="C14" s="6"/>
      <c r="D14" s="6"/>
      <c r="E14" s="6"/>
    </row>
    <row r="15" spans="1:5">
      <c r="A15" s="7" t="s">
        <v>25</v>
      </c>
      <c r="B15" s="7" t="s">
        <v>26</v>
      </c>
      <c r="C15" s="7" t="s">
        <v>27</v>
      </c>
      <c r="D15" s="7" t="s">
        <v>28</v>
      </c>
      <c r="E15" s="7" t="s">
        <v>15</v>
      </c>
    </row>
    <row r="16" spans="1:5">
      <c r="A16" t="s">
        <v>29</v>
      </c>
      <c r="B16" s="8">
        <v>200</v>
      </c>
      <c r="C16" s="8">
        <v>1000</v>
      </c>
      <c r="D16" s="8">
        <v>3000</v>
      </c>
      <c r="E16" t="s">
        <v>30</v>
      </c>
    </row>
    <row r="17" spans="1:5">
      <c r="A17" t="s">
        <v>31</v>
      </c>
      <c r="B17" s="8">
        <v>50</v>
      </c>
      <c r="C17" s="8">
        <v>100</v>
      </c>
      <c r="D17" s="8">
        <v>300</v>
      </c>
    </row>
    <row r="19" spans="1:5">
      <c r="A19" s="5" t="s">
        <v>32</v>
      </c>
      <c r="B19" s="6"/>
      <c r="C19" s="6"/>
      <c r="D19" s="6"/>
      <c r="E19" s="6"/>
    </row>
    <row r="20" spans="1:5">
      <c r="A20" s="7" t="s">
        <v>25</v>
      </c>
      <c r="B20" s="7" t="s">
        <v>26</v>
      </c>
      <c r="C20" s="7" t="s">
        <v>27</v>
      </c>
      <c r="D20" s="7" t="s">
        <v>28</v>
      </c>
      <c r="E20" s="7" t="s">
        <v>15</v>
      </c>
    </row>
    <row r="21" spans="1:5">
      <c r="A21" t="s">
        <v>33</v>
      </c>
      <c r="B21" s="8">
        <v>0</v>
      </c>
      <c r="C21" s="8">
        <v>0</v>
      </c>
      <c r="D21" s="8">
        <v>0</v>
      </c>
    </row>
    <row r="22" spans="1:5">
      <c r="A22" t="s">
        <v>34</v>
      </c>
      <c r="B22" s="8">
        <v>0</v>
      </c>
      <c r="C22" s="8">
        <v>0</v>
      </c>
      <c r="D22" s="8">
        <v>0</v>
      </c>
    </row>
    <row r="23" spans="1:5">
      <c r="A23" t="s">
        <v>35</v>
      </c>
      <c r="B23" s="8">
        <v>0</v>
      </c>
      <c r="C23" s="8">
        <v>0</v>
      </c>
      <c r="D23" s="8">
        <v>0</v>
      </c>
    </row>
    <row r="24" spans="1:5">
      <c r="A24" t="s">
        <v>36</v>
      </c>
      <c r="B24" s="8">
        <v>0</v>
      </c>
      <c r="C24" s="8">
        <v>0</v>
      </c>
      <c r="D24" s="8">
        <v>0</v>
      </c>
    </row>
    <row r="25" spans="1:5">
      <c r="A25" t="s">
        <v>37</v>
      </c>
      <c r="B25" s="8">
        <v>0</v>
      </c>
      <c r="C25" s="8">
        <v>0</v>
      </c>
      <c r="D25" s="8">
        <v>0</v>
      </c>
      <c r="E25" t="s">
        <v>38</v>
      </c>
    </row>
    <row r="26" spans="1:5">
      <c r="A26" t="s">
        <v>39</v>
      </c>
      <c r="B26" s="8">
        <v>0</v>
      </c>
      <c r="C26" s="8">
        <v>0</v>
      </c>
      <c r="D26" s="8">
        <v>0</v>
      </c>
      <c r="E26" t="s">
        <v>40</v>
      </c>
    </row>
    <row r="27" spans="1:5">
      <c r="A27" t="s">
        <v>41</v>
      </c>
      <c r="B27" s="9">
        <v>0</v>
      </c>
      <c r="C27" s="9">
        <v>0</v>
      </c>
      <c r="D27" s="9">
        <v>0</v>
      </c>
    </row>
    <row r="28" spans="1:5">
      <c r="A28" t="s">
        <v>42</v>
      </c>
      <c r="B28" s="8">
        <v>0</v>
      </c>
      <c r="C28" s="8">
        <v>0</v>
      </c>
      <c r="D28" s="8">
        <v>0</v>
      </c>
      <c r="E28" t="s">
        <v>43</v>
      </c>
    </row>
    <row r="30" spans="1:5">
      <c r="A30" s="5" t="s">
        <v>44</v>
      </c>
      <c r="B30" s="6"/>
      <c r="C30" s="6"/>
      <c r="D30" s="6"/>
      <c r="E30" s="6"/>
    </row>
    <row r="31" spans="1:5">
      <c r="A31" s="7" t="s">
        <v>45</v>
      </c>
      <c r="B31" s="7" t="s">
        <v>26</v>
      </c>
      <c r="C31" s="7" t="s">
        <v>27</v>
      </c>
      <c r="D31" s="7" t="s">
        <v>28</v>
      </c>
      <c r="E31" s="7" t="s">
        <v>15</v>
      </c>
    </row>
    <row r="32" spans="1:5">
      <c r="A32" t="s">
        <v>46</v>
      </c>
      <c r="B32" s="8">
        <v>0</v>
      </c>
      <c r="C32" s="8">
        <v>0</v>
      </c>
      <c r="D32" s="8">
        <v>0</v>
      </c>
      <c r="E32" t="s">
        <v>47</v>
      </c>
    </row>
    <row r="33" spans="1:4">
      <c r="A33" t="s">
        <v>48</v>
      </c>
      <c r="B33" s="8">
        <v>0</v>
      </c>
      <c r="C33" s="8">
        <v>0</v>
      </c>
      <c r="D33" s="8">
        <v>0</v>
      </c>
    </row>
    <row r="34" spans="1:4">
      <c r="A34" t="s">
        <v>49</v>
      </c>
      <c r="B34" s="8">
        <v>0</v>
      </c>
      <c r="C34" s="8">
        <v>0</v>
      </c>
      <c r="D34" s="8">
        <v>0</v>
      </c>
    </row>
    <row r="35" spans="1:4">
      <c r="A35" t="s">
        <v>50</v>
      </c>
      <c r="B35" s="8">
        <v>0</v>
      </c>
      <c r="C35" s="8">
        <v>0</v>
      </c>
      <c r="D35" s="8">
        <v>0</v>
      </c>
    </row>
    <row r="36" spans="1:4">
      <c r="A36" t="s">
        <v>51</v>
      </c>
      <c r="B36" s="8">
        <v>0</v>
      </c>
      <c r="C36" s="8">
        <v>0</v>
      </c>
      <c r="D36" s="8">
        <v>0</v>
      </c>
    </row>
    <row r="37" spans="1:4">
      <c r="A37" t="s">
        <v>52</v>
      </c>
      <c r="B37" s="8">
        <v>0</v>
      </c>
      <c r="C37" s="8">
        <v>0</v>
      </c>
      <c r="D37" s="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C1" sqref="C1"/>
    </sheetView>
  </sheetViews>
  <sheetFormatPr defaultRowHeight="15"/>
  <cols>
    <col min="1" max="1" width="52" customWidth="1"/>
    <col min="2" max="4" width="20" customWidth="1"/>
  </cols>
  <sheetData>
    <row r="1" spans="1:4" ht="18.75">
      <c r="A1" s="4" t="s">
        <v>53</v>
      </c>
    </row>
    <row r="3" spans="1:4">
      <c r="A3" s="7" t="s">
        <v>25</v>
      </c>
      <c r="B3" s="7" t="s">
        <v>26</v>
      </c>
      <c r="C3" s="7" t="s">
        <v>27</v>
      </c>
      <c r="D3" s="7" t="s">
        <v>28</v>
      </c>
    </row>
    <row r="4" spans="1:4">
      <c r="A4" t="s">
        <v>54</v>
      </c>
      <c r="B4" s="10">
        <f>('Giả định'!$B$5*(1-'Giả định'!$B$11)+'Giả định'!$B$6*'Giả định'!$B$11)*4</f>
        <v>3000000</v>
      </c>
      <c r="C4" s="10">
        <f>('Giả định'!$B$5*(1-'Giả định'!$B$11)+'Giả định'!$B$6*'Giả định'!$B$11)*4</f>
        <v>3000000</v>
      </c>
      <c r="D4" s="10">
        <f>('Giả định'!$B$5*(1-'Giả định'!$B$11)+'Giả định'!$B$6*'Giả định'!$B$11)*4</f>
        <v>3000000</v>
      </c>
    </row>
    <row r="5" spans="1:4">
      <c r="A5" t="s">
        <v>55</v>
      </c>
      <c r="B5" s="10">
        <f>('Giả định'!$B$7*(1-'Giả định'!$B$12)+'Giả định'!$B$8*'Giả định'!$B$12)*4</f>
        <v>9000000</v>
      </c>
      <c r="C5" s="10">
        <f>('Giả định'!$B$7*(1-'Giả định'!$B$12)+'Giả định'!$B$8*'Giả định'!$B$12)*4</f>
        <v>9000000</v>
      </c>
      <c r="D5" s="10">
        <f>('Giả định'!$B$7*(1-'Giả định'!$B$12)+'Giả định'!$B$8*'Giả định'!$B$12)*4</f>
        <v>9000000</v>
      </c>
    </row>
    <row r="6" spans="1:4">
      <c r="A6" t="s">
        <v>56</v>
      </c>
      <c r="B6" s="10">
        <f>'Giả định'!B16*B4</f>
        <v>600000000</v>
      </c>
      <c r="C6" s="10">
        <f>'Giả định'!C16*C4</f>
        <v>3000000000</v>
      </c>
      <c r="D6" s="10">
        <f>'Giả định'!D16*D4</f>
        <v>9000000000</v>
      </c>
    </row>
    <row r="7" spans="1:4">
      <c r="A7" t="s">
        <v>57</v>
      </c>
      <c r="B7" s="10">
        <f>'Giả định'!B17*B5</f>
        <v>450000000</v>
      </c>
      <c r="C7" s="10">
        <f>'Giả định'!C17*C5</f>
        <v>900000000</v>
      </c>
      <c r="D7" s="10">
        <f>'Giả định'!D17*D5</f>
        <v>2700000000</v>
      </c>
    </row>
    <row r="8" spans="1:4">
      <c r="A8" s="11" t="s">
        <v>58</v>
      </c>
      <c r="B8" s="12">
        <f>B6+B7</f>
        <v>1050000000</v>
      </c>
      <c r="C8" s="12">
        <f>C6+C7</f>
        <v>3900000000</v>
      </c>
      <c r="D8" s="12">
        <f>D6+D7</f>
        <v>11700000000</v>
      </c>
    </row>
    <row r="9" spans="1:4">
      <c r="A9" t="s">
        <v>59</v>
      </c>
      <c r="B9" s="10">
        <f>'Giả định'!B21*'Giả định'!B22</f>
        <v>0</v>
      </c>
      <c r="C9" s="10">
        <f>'Giả định'!C21*'Giả định'!C22</f>
        <v>0</v>
      </c>
      <c r="D9" s="10">
        <f>'Giả định'!D21*'Giả định'!D22</f>
        <v>0</v>
      </c>
    </row>
    <row r="10" spans="1:4">
      <c r="A10" t="s">
        <v>60</v>
      </c>
      <c r="B10" s="10">
        <f>'Giả định'!B23*'Giả định'!B24</f>
        <v>0</v>
      </c>
      <c r="C10" s="10">
        <f>'Giả định'!C23*'Giả định'!C24</f>
        <v>0</v>
      </c>
      <c r="D10" s="10">
        <f>'Giả định'!D23*'Giả định'!D24</f>
        <v>0</v>
      </c>
    </row>
    <row r="11" spans="1:4">
      <c r="A11" t="s">
        <v>61</v>
      </c>
      <c r="B11" s="10">
        <f>'Giả định'!B25</f>
        <v>0</v>
      </c>
      <c r="C11" s="10">
        <f>'Giả định'!C25</f>
        <v>0</v>
      </c>
      <c r="D11" s="10">
        <f>'Giả định'!D25</f>
        <v>0</v>
      </c>
    </row>
    <row r="12" spans="1:4">
      <c r="A12" t="s">
        <v>62</v>
      </c>
      <c r="B12" s="10">
        <f>'Giả định'!B26*'Giả định'!B27</f>
        <v>0</v>
      </c>
      <c r="C12" s="10">
        <f>'Giả định'!C26*'Giả định'!C27</f>
        <v>0</v>
      </c>
      <c r="D12" s="10">
        <f>'Giả định'!D26*'Giả định'!D27</f>
        <v>0</v>
      </c>
    </row>
    <row r="13" spans="1:4">
      <c r="A13" t="s">
        <v>63</v>
      </c>
      <c r="B13" s="10">
        <f>'Giả định'!B28</f>
        <v>0</v>
      </c>
      <c r="C13" s="10">
        <f>'Giả định'!C28</f>
        <v>0</v>
      </c>
      <c r="D13" s="10">
        <f>'Giả định'!D28</f>
        <v>0</v>
      </c>
    </row>
    <row r="14" spans="1:4">
      <c r="A14" t="s">
        <v>64</v>
      </c>
      <c r="B14" s="10">
        <f>SUM(B9:B13)</f>
        <v>0</v>
      </c>
      <c r="C14" s="10">
        <f>SUM(C9:C13)</f>
        <v>0</v>
      </c>
      <c r="D14" s="10">
        <f>SUM(D9:D13)</f>
        <v>0</v>
      </c>
    </row>
    <row r="15" spans="1:4">
      <c r="A15" s="11" t="s">
        <v>65</v>
      </c>
      <c r="B15" s="12">
        <f>B8+B14</f>
        <v>1050000000</v>
      </c>
      <c r="C15" s="12">
        <f>C8+C14</f>
        <v>3900000000</v>
      </c>
      <c r="D15" s="12">
        <f>D8+D14</f>
        <v>11700000000</v>
      </c>
    </row>
    <row r="16" spans="1:4">
      <c r="A16" t="s">
        <v>66</v>
      </c>
      <c r="B16" s="10">
        <f>SUM('Giả định'!B32:B37)</f>
        <v>0</v>
      </c>
      <c r="C16" s="10">
        <f>SUM('Giả định'!C32:C37)</f>
        <v>0</v>
      </c>
      <c r="D16" s="10">
        <f>SUM('Giả định'!D32:D37)</f>
        <v>0</v>
      </c>
    </row>
    <row r="17" spans="1:4">
      <c r="A17" s="11" t="s">
        <v>67</v>
      </c>
      <c r="B17" s="12">
        <f>B15-B16</f>
        <v>1050000000</v>
      </c>
      <c r="C17" s="12">
        <f>C15-C16</f>
        <v>3900000000</v>
      </c>
      <c r="D17" s="12">
        <f>D15-D16</f>
        <v>11700000000</v>
      </c>
    </row>
    <row r="18" spans="1:4">
      <c r="A18" t="s">
        <v>68</v>
      </c>
      <c r="B18" s="13">
        <f>IF(B15=0,0,B8/B15)</f>
        <v>1</v>
      </c>
      <c r="C18" s="13">
        <f>IF(C15=0,0,C8/C15)</f>
        <v>1</v>
      </c>
      <c r="D18" s="13">
        <f>IF(D15=0,0,D8/D15)</f>
        <v>1</v>
      </c>
    </row>
    <row r="20" spans="1:4" ht="45">
      <c r="A20" s="1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 dẫn</vt:lpstr>
      <vt:lpstr>Giả định</vt:lpstr>
      <vt:lpstr>Dự phóng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Tran</cp:lastModifiedBy>
  <dcterms:created xsi:type="dcterms:W3CDTF">2026-10-29T17:54:15Z</dcterms:created>
  <dcterms:modified xsi:type="dcterms:W3CDTF">2026-10-29T18:02:56Z</dcterms:modified>
</cp:coreProperties>
</file>