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griCo\docs\"/>
    </mc:Choice>
  </mc:AlternateContent>
  <xr:revisionPtr revIDLastSave="0" documentId="13_ncr:1_{7C6FAAF0-4AF2-447A-BDB5-1F1BB6FB891A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Hướng dẫn" sheetId="1" r:id="rId1"/>
    <sheet name="Giả định" sheetId="2" r:id="rId2"/>
    <sheet name="Dự phóng" sheetId="3" r:id="rId3"/>
  </sheets>
  <calcPr calcId="191029"/>
</workbook>
</file>

<file path=xl/calcChain.xml><?xml version="1.0" encoding="utf-8"?>
<calcChain xmlns="http://schemas.openxmlformats.org/spreadsheetml/2006/main">
  <c r="D24" i="3" l="1"/>
  <c r="C24" i="3"/>
  <c r="B24" i="3"/>
  <c r="D23" i="3"/>
  <c r="C23" i="3"/>
  <c r="B23" i="3"/>
  <c r="D21" i="3"/>
  <c r="C21" i="3"/>
  <c r="B21" i="3"/>
  <c r="D20" i="3"/>
  <c r="C20" i="3"/>
  <c r="B20" i="3"/>
  <c r="D18" i="3"/>
  <c r="C18" i="3"/>
  <c r="B18" i="3"/>
  <c r="B17" i="3"/>
  <c r="C19" i="3"/>
  <c r="B16" i="3"/>
  <c r="B19" i="3" s="1"/>
  <c r="D13" i="3"/>
  <c r="C13" i="3"/>
  <c r="B13" i="3"/>
  <c r="D12" i="3"/>
  <c r="C12" i="3"/>
  <c r="B12" i="3"/>
  <c r="D11" i="3"/>
  <c r="C11" i="3"/>
  <c r="B11" i="3"/>
  <c r="D10" i="3"/>
  <c r="D14" i="3" s="1"/>
  <c r="C10" i="3"/>
  <c r="C14" i="3" s="1"/>
  <c r="B10" i="3"/>
  <c r="B14" i="3" s="1"/>
  <c r="D9" i="3"/>
  <c r="C9" i="3"/>
  <c r="B9" i="3"/>
  <c r="D5" i="3"/>
  <c r="D7" i="3" s="1"/>
  <c r="C5" i="3"/>
  <c r="C7" i="3" s="1"/>
  <c r="B5" i="3"/>
  <c r="B7" i="3" s="1"/>
  <c r="D4" i="3"/>
  <c r="D6" i="3" s="1"/>
  <c r="C4" i="3"/>
  <c r="C6" i="3" s="1"/>
  <c r="B4" i="3"/>
  <c r="B6" i="3" s="1"/>
  <c r="B8" i="3" l="1"/>
  <c r="C8" i="3"/>
  <c r="C15" i="3" s="1"/>
  <c r="D8" i="3"/>
  <c r="D15" i="3" s="1"/>
  <c r="D19" i="3"/>
  <c r="B22" i="3"/>
  <c r="B25" i="3" s="1"/>
  <c r="B26" i="3" s="1"/>
  <c r="B15" i="3"/>
  <c r="C22" i="3"/>
  <c r="C25" i="3" s="1"/>
  <c r="C26" i="3" s="1"/>
  <c r="D22" i="3" l="1"/>
  <c r="D25" i="3" s="1"/>
  <c r="D26" i="3" s="1"/>
  <c r="D27" i="3" s="1"/>
  <c r="D30" i="3"/>
  <c r="C27" i="3"/>
  <c r="C30" i="3"/>
  <c r="B27" i="3"/>
  <c r="B28" i="3" s="1"/>
  <c r="B30" i="3"/>
  <c r="C28" i="3" l="1"/>
  <c r="D28" i="3" s="1"/>
  <c r="D29" i="3" l="1"/>
</calcChain>
</file>

<file path=xl/sharedStrings.xml><?xml version="1.0" encoding="utf-8"?>
<sst xmlns="http://schemas.openxmlformats.org/spreadsheetml/2006/main" count="121" uniqueCount="107">
  <si>
    <t>Agricovi – Mô hình doanh thu (bản để nhà đầu tư tự đổi giả định)</t>
  </si>
  <si>
    <t>Cách dùng</t>
  </si>
  <si>
    <t>1. Mở trang 'Giả định'. Chỉ sửa các ô màu vàng.</t>
  </si>
  <si>
    <t>2. Trang 'Dự phóng' tự tính lại doanh thu 3 năm, chi phí và lợi nhuận.</t>
  </si>
  <si>
    <t>3. Giá thuê bao (4 gói) lấy theo quyết định D4 của chủ sản phẩm. Các nguồn thu còn lại chưa chốt giá nên để 0, hãy điền thử.</t>
  </si>
  <si>
    <t>Lưu ý</t>
  </si>
  <si>
    <t>- Số lượng khách các năm là GIẢ ĐỊNH để thảo luận, không phải số liệu thực tế hay cam kết.</t>
  </si>
  <si>
    <t>- Doanh thu thuê bao tính theo 'quy năm': số khách cuối năm nhân giá cả năm (run-rate), chưa chia theo tháng bắt đầu.</t>
  </si>
  <si>
    <t>- Chưa tính thuế, chiết khấu, khách dùng thử miễn phí 1 tháng, khách rời bỏ giữa năm.</t>
  </si>
  <si>
    <t>- Chi phí ở mục 5 là ƯỚC TÍNH của người soạn (lương, chi phí thu hút khách, hạ tầng...), chạy theo số khách. Hãy thay bằng báo giá thực tế.</t>
  </si>
  <si>
    <t>GIẢ ĐỊNH (chỉ sửa ô màu vàng)</t>
  </si>
  <si>
    <t>1. Giá thuê bao (đồng mỗi quý) – theo quyết định D4</t>
  </si>
  <si>
    <t>Gói</t>
  </si>
  <si>
    <t>Giá/quý</t>
  </si>
  <si>
    <t>Số vụ</t>
  </si>
  <si>
    <t>Ghi chú</t>
  </si>
  <si>
    <t>Hộ cơ bản</t>
  </si>
  <si>
    <t>Dùng thử 1 tháng, sau đó thu theo quý</t>
  </si>
  <si>
    <t>Hộ nâng cao</t>
  </si>
  <si>
    <t>HTX cơ bản</t>
  </si>
  <si>
    <t>HTX nâng cao</t>
  </si>
  <si>
    <t>2. Cơ cấu gói</t>
  </si>
  <si>
    <t>Tỷ lệ hộ chọn gói nâng cao</t>
  </si>
  <si>
    <t>Tỷ lệ HTX chọn gói nâng cao</t>
  </si>
  <si>
    <t>3. Số khách trả phí cuối năm (giả định)</t>
  </si>
  <si>
    <t>Chỉ tiêu</t>
  </si>
  <si>
    <t>Năm 1</t>
  </si>
  <si>
    <t>Năm 2</t>
  </si>
  <si>
    <t>Năm 3</t>
  </si>
  <si>
    <t>Hộ trả phí</t>
  </si>
  <si>
    <t>Thay bằng số liệu thí điểm khi có</t>
  </si>
  <si>
    <t>HTX trả phí</t>
  </si>
  <si>
    <t>4. Nguồn thu từ website (chưa chốt giá, điền thử)</t>
  </si>
  <si>
    <t>Số cơ sở mua gói ưu tiên hiển thị</t>
  </si>
  <si>
    <t>Phí ưu tiên hiển thị (đồng/cơ sở/năm)</t>
  </si>
  <si>
    <t>Số nhà cung cấp mở gian hàng vật tư</t>
  </si>
  <si>
    <t>Phí gian hàng (đồng/gian hàng/năm)</t>
  </si>
  <si>
    <t>Doanh thu quảng cáo, tin tài trợ (đồng/năm)</t>
  </si>
  <si>
    <t>Nhập tổng số</t>
  </si>
  <si>
    <t>Giá trị đơn hàng giao thương qua website (đồng/năm)</t>
  </si>
  <si>
    <t>Chỉ khi đã có tư vấn pháp lý</t>
  </si>
  <si>
    <t>Tỷ lệ hoa hồng trên đơn</t>
  </si>
  <si>
    <t>Doanh thu dữ liệu và dịch vụ liên kết (đồng/năm)</t>
  </si>
  <si>
    <t>Dài hạn</t>
  </si>
  <si>
    <t>5. Chi phí – tham số (ước tính của người soạn, hãy chỉnh theo thực tế)</t>
  </si>
  <si>
    <t>Khoản</t>
  </si>
  <si>
    <t>Số kỹ sư, kỹ thuật</t>
  </si>
  <si>
    <t>Phát triển, vận hành hệ thống, bảo mật</t>
  </si>
  <si>
    <t>Số nhân viên bán hàng, phát triển thị trường</t>
  </si>
  <si>
    <t>Bán qua HTX, đại lý, đi vùng trồng</t>
  </si>
  <si>
    <t>Số khách trên mỗi nhân viên hỗ trợ</t>
  </si>
  <si>
    <t>Hỗ trợ, đào tạo, trả lời</t>
  </si>
  <si>
    <t>Số quản lý, vận hành, biên tập nội dung</t>
  </si>
  <si>
    <t>Gồm người nhập tin và giá cho website</t>
  </si>
  <si>
    <t>Lương kỹ sư (đồng/tháng)</t>
  </si>
  <si>
    <t>Chưa gồm hệ số chi phí ngoài lương</t>
  </si>
  <si>
    <t>Lương bán hàng (đồng/tháng)</t>
  </si>
  <si>
    <t>Chưa gồm hoa hồng (nằm trong chi phí thu hút khách)</t>
  </si>
  <si>
    <t>Lương hỗ trợ khách (đồng/tháng)</t>
  </si>
  <si>
    <t>Lương quản lý, biên tập (đồng/tháng)</t>
  </si>
  <si>
    <t>Hệ số chi phí ngoài lương</t>
  </si>
  <si>
    <t>Bảo hiểm, thiết bị, phần mềm làm việc</t>
  </si>
  <si>
    <t>Chi phí thu hút mỗi hộ mới (đồng)</t>
  </si>
  <si>
    <t>Quảng cáo, hoa hồng giới thiệu, đào tạo ban đầu</t>
  </si>
  <si>
    <t>Chi phí thu hút mỗi HTX mới (đồng)</t>
  </si>
  <si>
    <t>Cần đi gặp, hướng dẫn tại chỗ</t>
  </si>
  <si>
    <t>Marketing thương hiệu cố định (đồng/năm)</t>
  </si>
  <si>
    <t>Nội dung, sự kiện, hội chợ, truyền thông</t>
  </si>
  <si>
    <t>Hạ tầng cố định (đồng/năm)</t>
  </si>
  <si>
    <t>Máy chủ, cơ sở dữ liệu, email, tên miền, giám sát</t>
  </si>
  <si>
    <t>Hạ tầng biến đổi mỗi hộ (đồng/năm)</t>
  </si>
  <si>
    <t>Lưu trữ, ảnh chấm công, thông báo</t>
  </si>
  <si>
    <t>Hạ tầng biến đổi mỗi HTX (đồng/năm)</t>
  </si>
  <si>
    <t>Phí cổng thanh toán (% thuê bao)</t>
  </si>
  <si>
    <t>Pháp lý, tuân thủ (đồng/năm)</t>
  </si>
  <si>
    <t>Thương mại điện tử, dữ liệu cá nhân, nhãn hiệu, hợp đồng</t>
  </si>
  <si>
    <t>Văn phòng, kế toán, hành chính (đồng/năm)</t>
  </si>
  <si>
    <t>Dự phòng (% tổng chi)</t>
  </si>
  <si>
    <t>DỰ PHÓNG DOANH THU 3 NĂM (đồng, tự tính)</t>
  </si>
  <si>
    <t>Giá bình quân hộ (đồng/năm)</t>
  </si>
  <si>
    <t>Giá bình quân HTX (đồng/năm)</t>
  </si>
  <si>
    <t>Thuê bao hộ</t>
  </si>
  <si>
    <t>Thuê bao HTX</t>
  </si>
  <si>
    <t>Tổng thuê bao app</t>
  </si>
  <si>
    <t>Ưu tiên hiển thị</t>
  </si>
  <si>
    <t>Gian hàng vật tư</t>
  </si>
  <si>
    <t>Quảng cáo, tin tài trợ</t>
  </si>
  <si>
    <t>Hoa hồng giao thương</t>
  </si>
  <si>
    <t>Dữ liệu và dịch vụ liên kết</t>
  </si>
  <si>
    <t>Tổng nguồn thu website và khác</t>
  </si>
  <si>
    <t>TỔNG DOANH THU</t>
  </si>
  <si>
    <t>Hộ mới trong năm</t>
  </si>
  <si>
    <t>HTX mới trong năm</t>
  </si>
  <si>
    <t>Nhân sự</t>
  </si>
  <si>
    <t>Thu hút khách mới (marketing, bán hàng)</t>
  </si>
  <si>
    <t>Marketing thương hiệu</t>
  </si>
  <si>
    <t>Hạ tầng</t>
  </si>
  <si>
    <t>Phí cổng thanh toán</t>
  </si>
  <si>
    <t>Pháp lý, tuân thủ</t>
  </si>
  <si>
    <t>Văn phòng, kế toán, hành chính</t>
  </si>
  <si>
    <t>Dự phòng</t>
  </si>
  <si>
    <t>TỔNG CHI PHÍ</t>
  </si>
  <si>
    <t>LỢI NHUẬN (trước thuế)</t>
  </si>
  <si>
    <t>Lợi nhuận lũy kế</t>
  </si>
  <si>
    <t>Vốn cần tối thiểu (mức lỗ lũy kế sâu nhất)</t>
  </si>
  <si>
    <t>Thuê bao app chiếm trong tổng doanh thu</t>
  </si>
  <si>
    <t>Lưu ý: số khách và mọi tham số chi phí là ước tính để thảo luận. 'Vốn cần tối thiểu' là mức lỗ lũy kế sâu nhất trong 3 năm, chưa gồm vốn lưu động, chưa tính thuế và khách dùng thử miễn phí.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</si>
</sst>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color theme="1"/>
      <name val="Calibri"/>
      <family val="2"/>
      <scheme val="minor"/>
    </font>
    <font>
      <b/>
      <sz val="14"/>
      <name val="Calibri"/>
    </font>
    <font>
      <sz val="11"/>
      <name val="Calibri"/>
    </font>
    <font>
      <b/>
      <sz val="11"/>
      <name val="Calibri"/>
    </font>
    <font>
      <b/>
      <sz val="14"/>
      <color rgb="FF10281D"/>
      <name val="Calibri"/>
    </font>
    <font>
      <b/>
      <sz val="11"/>
      <color rgb="FF10281D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3EDE6"/>
      </patternFill>
    </fill>
    <fill>
      <patternFill patternType="solid">
        <fgColor rgb="FF10281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9C9BC"/>
      </left>
      <right style="thin">
        <color rgb="FFC9C9BC"/>
      </right>
      <top style="thin">
        <color rgb="FFC9C9BC"/>
      </top>
      <bottom style="thin">
        <color rgb="FFC9C9B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6" fillId="3" borderId="0" xfId="0" applyFont="1" applyFill="1" applyAlignment="1">
      <alignment horizontal="center" vertical="center" wrapText="1"/>
    </xf>
    <xf numFmtId="3" fontId="0" fillId="4" borderId="1" xfId="0" applyNumberFormat="1" applyFill="1" applyBorder="1"/>
    <xf numFmtId="9" fontId="0" fillId="4" borderId="1" xfId="0" applyNumberFormat="1" applyFill="1" applyBorder="1"/>
    <xf numFmtId="2" fontId="0" fillId="4" borderId="1" xfId="0" applyNumberFormat="1" applyFill="1" applyBorder="1"/>
    <xf numFmtId="164" fontId="0" fillId="4" borderId="1" xfId="0" applyNumberFormat="1" applyFill="1" applyBorder="1"/>
    <xf numFmtId="3" fontId="0" fillId="0" borderId="0" xfId="0" applyNumberFormat="1"/>
    <xf numFmtId="0" fontId="7" fillId="2" borderId="0" xfId="0" applyFont="1" applyFill="1"/>
    <xf numFmtId="3" fontId="7" fillId="2" borderId="0" xfId="0" applyNumberFormat="1" applyFont="1" applyFill="1"/>
    <xf numFmtId="9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/>
  </sheetViews>
  <sheetFormatPr defaultRowHeight="15"/>
  <cols>
    <col min="1" max="1" width="110" customWidth="1"/>
  </cols>
  <sheetData>
    <row r="1" spans="1:1" ht="18.75">
      <c r="A1" s="1" t="s">
        <v>0</v>
      </c>
    </row>
    <row r="2" spans="1:1">
      <c r="A2" s="2"/>
    </row>
    <row r="3" spans="1:1">
      <c r="A3" s="3" t="s">
        <v>1</v>
      </c>
    </row>
    <row r="4" spans="1:1">
      <c r="A4" s="2" t="s">
        <v>2</v>
      </c>
    </row>
    <row r="5" spans="1:1">
      <c r="A5" s="2" t="s">
        <v>3</v>
      </c>
    </row>
    <row r="6" spans="1:1" ht="30">
      <c r="A6" s="2" t="s">
        <v>4</v>
      </c>
    </row>
    <row r="7" spans="1:1">
      <c r="A7" s="2"/>
    </row>
    <row r="8" spans="1:1">
      <c r="A8" s="3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 ht="30">
      <c r="A12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topLeftCell="A3" workbookViewId="0">
      <selection activeCell="B17" sqref="B17"/>
    </sheetView>
  </sheetViews>
  <sheetFormatPr defaultRowHeight="15"/>
  <cols>
    <col min="1" max="1" width="52" customWidth="1"/>
    <col min="2" max="4" width="18" customWidth="1"/>
    <col min="5" max="5" width="60" customWidth="1"/>
  </cols>
  <sheetData>
    <row r="1" spans="1:5" ht="18.75">
      <c r="A1" s="4" t="s">
        <v>10</v>
      </c>
    </row>
    <row r="3" spans="1:5">
      <c r="A3" s="5" t="s">
        <v>11</v>
      </c>
      <c r="B3" s="6"/>
      <c r="C3" s="6"/>
      <c r="D3" s="6"/>
      <c r="E3" s="6"/>
    </row>
    <row r="4" spans="1:5">
      <c r="A4" s="7" t="s">
        <v>12</v>
      </c>
      <c r="B4" s="7" t="s">
        <v>13</v>
      </c>
      <c r="C4" s="7" t="s">
        <v>14</v>
      </c>
      <c r="D4" s="7"/>
      <c r="E4" s="7" t="s">
        <v>15</v>
      </c>
    </row>
    <row r="5" spans="1:5">
      <c r="A5" t="s">
        <v>16</v>
      </c>
      <c r="B5" s="8">
        <v>1200000</v>
      </c>
      <c r="C5">
        <v>3</v>
      </c>
      <c r="E5" t="s">
        <v>17</v>
      </c>
    </row>
    <row r="6" spans="1:5">
      <c r="A6" t="s">
        <v>18</v>
      </c>
      <c r="B6" s="8">
        <v>1800000</v>
      </c>
      <c r="C6">
        <v>6</v>
      </c>
    </row>
    <row r="7" spans="1:5">
      <c r="A7" t="s">
        <v>19</v>
      </c>
      <c r="B7" s="8">
        <v>2400000</v>
      </c>
      <c r="C7">
        <v>8</v>
      </c>
    </row>
    <row r="8" spans="1:5">
      <c r="A8" t="s">
        <v>20</v>
      </c>
      <c r="B8" s="8">
        <v>4500000</v>
      </c>
      <c r="C8">
        <v>15</v>
      </c>
    </row>
    <row r="10" spans="1:5">
      <c r="A10" s="5" t="s">
        <v>21</v>
      </c>
      <c r="B10" s="6"/>
      <c r="C10" s="6"/>
      <c r="D10" s="6"/>
      <c r="E10" s="6"/>
    </row>
    <row r="11" spans="1:5">
      <c r="A11" t="s">
        <v>22</v>
      </c>
      <c r="B11" s="9">
        <v>0.5</v>
      </c>
    </row>
    <row r="12" spans="1:5">
      <c r="A12" t="s">
        <v>23</v>
      </c>
      <c r="B12" s="9">
        <v>0.5</v>
      </c>
    </row>
    <row r="14" spans="1:5">
      <c r="A14" s="5" t="s">
        <v>24</v>
      </c>
      <c r="B14" s="6"/>
      <c r="C14" s="6"/>
      <c r="D14" s="6"/>
      <c r="E14" s="6"/>
    </row>
    <row r="15" spans="1:5">
      <c r="A15" s="7" t="s">
        <v>25</v>
      </c>
      <c r="B15" s="7" t="s">
        <v>26</v>
      </c>
      <c r="C15" s="7" t="s">
        <v>27</v>
      </c>
      <c r="D15" s="7" t="s">
        <v>28</v>
      </c>
      <c r="E15" s="7" t="s">
        <v>15</v>
      </c>
    </row>
    <row r="16" spans="1:5">
      <c r="A16" t="s">
        <v>29</v>
      </c>
      <c r="B16" s="8">
        <v>200</v>
      </c>
      <c r="C16" s="8">
        <v>600</v>
      </c>
      <c r="D16" s="8">
        <v>1500</v>
      </c>
      <c r="E16" t="s">
        <v>30</v>
      </c>
    </row>
    <row r="17" spans="1:5">
      <c r="A17" t="s">
        <v>31</v>
      </c>
      <c r="B17" s="8">
        <v>50</v>
      </c>
      <c r="C17" s="8">
        <v>100</v>
      </c>
      <c r="D17" s="8">
        <v>300</v>
      </c>
    </row>
    <row r="19" spans="1:5">
      <c r="A19" s="5" t="s">
        <v>32</v>
      </c>
      <c r="B19" s="6"/>
      <c r="C19" s="6"/>
      <c r="D19" s="6"/>
      <c r="E19" s="6"/>
    </row>
    <row r="20" spans="1:5">
      <c r="A20" s="7" t="s">
        <v>25</v>
      </c>
      <c r="B20" s="7" t="s">
        <v>26</v>
      </c>
      <c r="C20" s="7" t="s">
        <v>27</v>
      </c>
      <c r="D20" s="7" t="s">
        <v>28</v>
      </c>
      <c r="E20" s="7" t="s">
        <v>15</v>
      </c>
    </row>
    <row r="21" spans="1:5">
      <c r="A21" t="s">
        <v>33</v>
      </c>
      <c r="B21" s="8">
        <v>0</v>
      </c>
      <c r="C21" s="8">
        <v>0</v>
      </c>
      <c r="D21" s="8">
        <v>0</v>
      </c>
    </row>
    <row r="22" spans="1:5">
      <c r="A22" t="s">
        <v>34</v>
      </c>
      <c r="B22" s="8">
        <v>0</v>
      </c>
      <c r="C22" s="8">
        <v>0</v>
      </c>
      <c r="D22" s="8">
        <v>0</v>
      </c>
    </row>
    <row r="23" spans="1:5">
      <c r="A23" t="s">
        <v>35</v>
      </c>
      <c r="B23" s="8">
        <v>0</v>
      </c>
      <c r="C23" s="8">
        <v>0</v>
      </c>
      <c r="D23" s="8">
        <v>0</v>
      </c>
    </row>
    <row r="24" spans="1:5">
      <c r="A24" t="s">
        <v>36</v>
      </c>
      <c r="B24" s="8">
        <v>0</v>
      </c>
      <c r="C24" s="8">
        <v>0</v>
      </c>
      <c r="D24" s="8">
        <v>0</v>
      </c>
    </row>
    <row r="25" spans="1:5">
      <c r="A25" t="s">
        <v>37</v>
      </c>
      <c r="B25" s="8">
        <v>0</v>
      </c>
      <c r="C25" s="8">
        <v>0</v>
      </c>
      <c r="D25" s="8">
        <v>0</v>
      </c>
      <c r="E25" t="s">
        <v>38</v>
      </c>
    </row>
    <row r="26" spans="1:5">
      <c r="A26" t="s">
        <v>39</v>
      </c>
      <c r="B26" s="8">
        <v>0</v>
      </c>
      <c r="C26" s="8">
        <v>0</v>
      </c>
      <c r="D26" s="8">
        <v>0</v>
      </c>
      <c r="E26" t="s">
        <v>40</v>
      </c>
    </row>
    <row r="27" spans="1:5">
      <c r="A27" t="s">
        <v>41</v>
      </c>
      <c r="B27" s="9">
        <v>0</v>
      </c>
      <c r="C27" s="9">
        <v>0</v>
      </c>
      <c r="D27" s="9">
        <v>0</v>
      </c>
    </row>
    <row r="28" spans="1:5">
      <c r="A28" t="s">
        <v>42</v>
      </c>
      <c r="B28" s="8">
        <v>0</v>
      </c>
      <c r="C28" s="8">
        <v>0</v>
      </c>
      <c r="D28" s="8">
        <v>0</v>
      </c>
      <c r="E28" t="s">
        <v>43</v>
      </c>
    </row>
    <row r="30" spans="1:5">
      <c r="A30" s="5" t="s">
        <v>44</v>
      </c>
      <c r="B30" s="6"/>
      <c r="C30" s="6"/>
      <c r="D30" s="6"/>
      <c r="E30" s="6"/>
    </row>
    <row r="31" spans="1:5">
      <c r="A31" s="7" t="s">
        <v>45</v>
      </c>
      <c r="B31" s="7" t="s">
        <v>26</v>
      </c>
      <c r="C31" s="7" t="s">
        <v>27</v>
      </c>
      <c r="D31" s="7" t="s">
        <v>28</v>
      </c>
      <c r="E31" s="7" t="s">
        <v>15</v>
      </c>
    </row>
    <row r="32" spans="1:5">
      <c r="A32" t="s">
        <v>46</v>
      </c>
      <c r="B32" s="8">
        <v>2</v>
      </c>
      <c r="C32" s="8">
        <v>3</v>
      </c>
      <c r="D32" s="8">
        <v>5</v>
      </c>
      <c r="E32" t="s">
        <v>47</v>
      </c>
    </row>
    <row r="33" spans="1:5">
      <c r="A33" t="s">
        <v>48</v>
      </c>
      <c r="B33" s="8">
        <v>2</v>
      </c>
      <c r="C33" s="8">
        <v>4</v>
      </c>
      <c r="D33" s="8">
        <v>10</v>
      </c>
      <c r="E33" t="s">
        <v>49</v>
      </c>
    </row>
    <row r="34" spans="1:5">
      <c r="A34" t="s">
        <v>50</v>
      </c>
      <c r="B34" s="8">
        <v>600</v>
      </c>
      <c r="C34" s="8">
        <v>600</v>
      </c>
      <c r="D34" s="8">
        <v>600</v>
      </c>
      <c r="E34" t="s">
        <v>51</v>
      </c>
    </row>
    <row r="35" spans="1:5">
      <c r="A35" t="s">
        <v>52</v>
      </c>
      <c r="B35" s="8">
        <v>1</v>
      </c>
      <c r="C35" s="8">
        <v>2</v>
      </c>
      <c r="D35" s="8">
        <v>3</v>
      </c>
      <c r="E35" t="s">
        <v>53</v>
      </c>
    </row>
    <row r="36" spans="1:5">
      <c r="A36" t="s">
        <v>54</v>
      </c>
      <c r="B36" s="8">
        <v>10000000</v>
      </c>
      <c r="C36" s="8">
        <v>15000000</v>
      </c>
      <c r="D36" s="8">
        <v>30000000</v>
      </c>
      <c r="E36" t="s">
        <v>55</v>
      </c>
    </row>
    <row r="37" spans="1:5">
      <c r="A37" t="s">
        <v>56</v>
      </c>
      <c r="B37" s="8">
        <v>12000000</v>
      </c>
      <c r="C37" s="8">
        <v>12000000</v>
      </c>
      <c r="D37" s="8">
        <v>12000000</v>
      </c>
      <c r="E37" t="s">
        <v>57</v>
      </c>
    </row>
    <row r="38" spans="1:5">
      <c r="A38" t="s">
        <v>58</v>
      </c>
      <c r="B38" s="8">
        <v>0</v>
      </c>
      <c r="C38" s="8">
        <v>8000000</v>
      </c>
      <c r="D38" s="8">
        <v>10000000</v>
      </c>
    </row>
    <row r="39" spans="1:5">
      <c r="A39" t="s">
        <v>59</v>
      </c>
      <c r="B39" s="8">
        <v>15000000</v>
      </c>
      <c r="C39" s="8">
        <v>15000000</v>
      </c>
      <c r="D39" s="8">
        <v>15000000</v>
      </c>
    </row>
    <row r="40" spans="1:5">
      <c r="A40" t="s">
        <v>60</v>
      </c>
      <c r="B40" s="10">
        <v>1.2</v>
      </c>
      <c r="C40" s="10">
        <v>1.2</v>
      </c>
      <c r="D40" s="10">
        <v>1.2</v>
      </c>
      <c r="E40" t="s">
        <v>61</v>
      </c>
    </row>
    <row r="41" spans="1:5">
      <c r="A41" t="s">
        <v>62</v>
      </c>
      <c r="B41" s="8">
        <v>500000</v>
      </c>
      <c r="C41" s="8">
        <v>500000</v>
      </c>
      <c r="D41" s="8">
        <v>500000</v>
      </c>
      <c r="E41" t="s">
        <v>63</v>
      </c>
    </row>
    <row r="42" spans="1:5">
      <c r="A42" t="s">
        <v>64</v>
      </c>
      <c r="B42" s="8">
        <v>1000000</v>
      </c>
      <c r="C42" s="8">
        <v>1000000</v>
      </c>
      <c r="D42" s="8">
        <v>1000000</v>
      </c>
      <c r="E42" t="s">
        <v>65</v>
      </c>
    </row>
    <row r="43" spans="1:5">
      <c r="A43" t="s">
        <v>66</v>
      </c>
      <c r="B43" s="8">
        <v>100000000</v>
      </c>
      <c r="C43" s="8">
        <v>200000000</v>
      </c>
      <c r="D43" s="8">
        <v>300000000</v>
      </c>
      <c r="E43" t="s">
        <v>67</v>
      </c>
    </row>
    <row r="44" spans="1:5">
      <c r="A44" t="s">
        <v>68</v>
      </c>
      <c r="B44" s="8">
        <v>60000000</v>
      </c>
      <c r="C44" s="8">
        <v>150000000</v>
      </c>
      <c r="D44" s="8">
        <v>400000000</v>
      </c>
      <c r="E44" t="s">
        <v>69</v>
      </c>
    </row>
    <row r="45" spans="1:5">
      <c r="A45" t="s">
        <v>70</v>
      </c>
      <c r="B45" s="8">
        <v>80000</v>
      </c>
      <c r="C45" s="8">
        <v>80000</v>
      </c>
      <c r="D45" s="8">
        <v>80000</v>
      </c>
      <c r="E45" t="s">
        <v>71</v>
      </c>
    </row>
    <row r="46" spans="1:5">
      <c r="A46" t="s">
        <v>72</v>
      </c>
      <c r="B46" s="8">
        <v>200000</v>
      </c>
      <c r="C46" s="8">
        <v>300000</v>
      </c>
      <c r="D46" s="8">
        <v>300000</v>
      </c>
    </row>
    <row r="47" spans="1:5">
      <c r="A47" t="s">
        <v>73</v>
      </c>
      <c r="B47" s="11">
        <v>1.4999999999999999E-2</v>
      </c>
      <c r="C47" s="11">
        <v>1.4999999999999999E-2</v>
      </c>
      <c r="D47" s="11">
        <v>1.4999999999999999E-2</v>
      </c>
    </row>
    <row r="48" spans="1:5">
      <c r="A48" t="s">
        <v>74</v>
      </c>
      <c r="B48" s="8">
        <v>50000000</v>
      </c>
      <c r="C48" s="8">
        <v>200000000</v>
      </c>
      <c r="D48" s="8">
        <v>300000000</v>
      </c>
      <c r="E48" t="s">
        <v>75</v>
      </c>
    </row>
    <row r="49" spans="1:4">
      <c r="A49" t="s">
        <v>76</v>
      </c>
      <c r="B49" s="8">
        <v>50000000</v>
      </c>
      <c r="C49" s="8">
        <v>240000000</v>
      </c>
      <c r="D49" s="8">
        <v>480000000</v>
      </c>
    </row>
    <row r="50" spans="1:4">
      <c r="A50" t="s">
        <v>77</v>
      </c>
      <c r="B50" s="9">
        <v>0.1</v>
      </c>
      <c r="C50" s="9">
        <v>0.1</v>
      </c>
      <c r="D50" s="9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tabSelected="1" workbookViewId="0">
      <pane xSplit="1" ySplit="3" topLeftCell="B17" activePane="bottomRight" state="frozen"/>
      <selection pane="topRight"/>
      <selection pane="bottomLeft"/>
      <selection pane="bottomRight" activeCell="A28" sqref="A28"/>
    </sheetView>
  </sheetViews>
  <sheetFormatPr defaultRowHeight="15"/>
  <cols>
    <col min="1" max="1" width="52" customWidth="1"/>
    <col min="2" max="4" width="20" customWidth="1"/>
  </cols>
  <sheetData>
    <row r="1" spans="1:4" ht="18.75">
      <c r="A1" s="4" t="s">
        <v>78</v>
      </c>
    </row>
    <row r="3" spans="1:4">
      <c r="A3" s="7" t="s">
        <v>25</v>
      </c>
      <c r="B3" s="7" t="s">
        <v>26</v>
      </c>
      <c r="C3" s="7" t="s">
        <v>27</v>
      </c>
      <c r="D3" s="7" t="s">
        <v>28</v>
      </c>
    </row>
    <row r="4" spans="1:4">
      <c r="A4" t="s">
        <v>79</v>
      </c>
      <c r="B4" s="12">
        <f>('Giả định'!$B$5*(1-'Giả định'!$B$11)+'Giả định'!$B$6*'Giả định'!$B$11)*4</f>
        <v>6000000</v>
      </c>
      <c r="C4" s="12">
        <f>('Giả định'!$B$5*(1-'Giả định'!$B$11)+'Giả định'!$B$6*'Giả định'!$B$11)*4</f>
        <v>6000000</v>
      </c>
      <c r="D4" s="12">
        <f>('Giả định'!$B$5*(1-'Giả định'!$B$11)+'Giả định'!$B$6*'Giả định'!$B$11)*4</f>
        <v>6000000</v>
      </c>
    </row>
    <row r="5" spans="1:4">
      <c r="A5" t="s">
        <v>80</v>
      </c>
      <c r="B5" s="12">
        <f>('Giả định'!$B$7*(1-'Giả định'!$B$12)+'Giả định'!$B$8*'Giả định'!$B$12)*4</f>
        <v>13800000</v>
      </c>
      <c r="C5" s="12">
        <f>('Giả định'!$B$7*(1-'Giả định'!$B$12)+'Giả định'!$B$8*'Giả định'!$B$12)*4</f>
        <v>13800000</v>
      </c>
      <c r="D5" s="12">
        <f>('Giả định'!$B$7*(1-'Giả định'!$B$12)+'Giả định'!$B$8*'Giả định'!$B$12)*4</f>
        <v>13800000</v>
      </c>
    </row>
    <row r="6" spans="1:4">
      <c r="A6" t="s">
        <v>81</v>
      </c>
      <c r="B6" s="12">
        <f>'Giả định'!B16*B4</f>
        <v>1200000000</v>
      </c>
      <c r="C6" s="12">
        <f>'Giả định'!C16*C4</f>
        <v>3600000000</v>
      </c>
      <c r="D6" s="12">
        <f>'Giả định'!D16*D4</f>
        <v>9000000000</v>
      </c>
    </row>
    <row r="7" spans="1:4">
      <c r="A7" t="s">
        <v>82</v>
      </c>
      <c r="B7" s="12">
        <f>'Giả định'!B17*B5</f>
        <v>690000000</v>
      </c>
      <c r="C7" s="12">
        <f>'Giả định'!C17*C5</f>
        <v>1380000000</v>
      </c>
      <c r="D7" s="12">
        <f>'Giả định'!D17*D5</f>
        <v>4140000000</v>
      </c>
    </row>
    <row r="8" spans="1:4">
      <c r="A8" s="13" t="s">
        <v>83</v>
      </c>
      <c r="B8" s="14">
        <f>B6+B7</f>
        <v>1890000000</v>
      </c>
      <c r="C8" s="14">
        <f>C6+C7</f>
        <v>4980000000</v>
      </c>
      <c r="D8" s="14">
        <f>D6+D7</f>
        <v>13140000000</v>
      </c>
    </row>
    <row r="9" spans="1:4">
      <c r="A9" t="s">
        <v>84</v>
      </c>
      <c r="B9" s="12">
        <f>'Giả định'!B21*'Giả định'!B22</f>
        <v>0</v>
      </c>
      <c r="C9" s="12">
        <f>'Giả định'!C21*'Giả định'!C22</f>
        <v>0</v>
      </c>
      <c r="D9" s="12">
        <f>'Giả định'!D21*'Giả định'!D22</f>
        <v>0</v>
      </c>
    </row>
    <row r="10" spans="1:4">
      <c r="A10" t="s">
        <v>85</v>
      </c>
      <c r="B10" s="12">
        <f>'Giả định'!B23*'Giả định'!B24</f>
        <v>0</v>
      </c>
      <c r="C10" s="12">
        <f>'Giả định'!C23*'Giả định'!C24</f>
        <v>0</v>
      </c>
      <c r="D10" s="12">
        <f>'Giả định'!D23*'Giả định'!D24</f>
        <v>0</v>
      </c>
    </row>
    <row r="11" spans="1:4">
      <c r="A11" t="s">
        <v>86</v>
      </c>
      <c r="B11" s="12">
        <f>'Giả định'!B25</f>
        <v>0</v>
      </c>
      <c r="C11" s="12">
        <f>'Giả định'!C25</f>
        <v>0</v>
      </c>
      <c r="D11" s="12">
        <f>'Giả định'!D25</f>
        <v>0</v>
      </c>
    </row>
    <row r="12" spans="1:4">
      <c r="A12" t="s">
        <v>87</v>
      </c>
      <c r="B12" s="12">
        <f>'Giả định'!B26*'Giả định'!B27</f>
        <v>0</v>
      </c>
      <c r="C12" s="12">
        <f>'Giả định'!C26*'Giả định'!C27</f>
        <v>0</v>
      </c>
      <c r="D12" s="12">
        <f>'Giả định'!D26*'Giả định'!D27</f>
        <v>0</v>
      </c>
    </row>
    <row r="13" spans="1:4">
      <c r="A13" t="s">
        <v>88</v>
      </c>
      <c r="B13" s="12">
        <f>'Giả định'!B28</f>
        <v>0</v>
      </c>
      <c r="C13" s="12">
        <f>'Giả định'!C28</f>
        <v>0</v>
      </c>
      <c r="D13" s="12">
        <f>'Giả định'!D28</f>
        <v>0</v>
      </c>
    </row>
    <row r="14" spans="1:4">
      <c r="A14" t="s">
        <v>89</v>
      </c>
      <c r="B14" s="12">
        <f>SUM(B9:B13)</f>
        <v>0</v>
      </c>
      <c r="C14" s="12">
        <f>SUM(C9:C13)</f>
        <v>0</v>
      </c>
      <c r="D14" s="12">
        <f>SUM(D9:D13)</f>
        <v>0</v>
      </c>
    </row>
    <row r="15" spans="1:4">
      <c r="A15" s="13" t="s">
        <v>90</v>
      </c>
      <c r="B15" s="14">
        <f>B8+B14</f>
        <v>1890000000</v>
      </c>
      <c r="C15" s="14">
        <f>C8+C14</f>
        <v>4980000000</v>
      </c>
      <c r="D15" s="14">
        <f>D8+D14</f>
        <v>13140000000</v>
      </c>
    </row>
    <row r="16" spans="1:4">
      <c r="A16" t="s">
        <v>91</v>
      </c>
      <c r="B16" s="12">
        <f>'Giả định'!B16</f>
        <v>200</v>
      </c>
      <c r="C16" s="12">
        <v>600</v>
      </c>
      <c r="D16" s="12">
        <v>1500</v>
      </c>
    </row>
    <row r="17" spans="1:4">
      <c r="A17" t="s">
        <v>92</v>
      </c>
      <c r="B17" s="12">
        <f>'Giả định'!B17</f>
        <v>50</v>
      </c>
      <c r="C17" s="12">
        <v>100</v>
      </c>
      <c r="D17" s="12">
        <v>250</v>
      </c>
    </row>
    <row r="18" spans="1:4">
      <c r="A18" t="s">
        <v>93</v>
      </c>
      <c r="B18" s="12">
        <f>('Giả định'!B32*'Giả định'!B36+'Giả định'!B33*'Giả định'!B37+MAX(1,ROUNDUP(('Giả định'!B16+'Giả định'!B17)/'Giả định'!B34,0))*'Giả định'!B38+'Giả định'!B35*'Giả định'!B39)*12*'Giả định'!B40</f>
        <v>849600000</v>
      </c>
      <c r="C18" s="12">
        <f>('Giả định'!C32*'Giả định'!C36+'Giả định'!C33*'Giả định'!C37+MAX(1,ROUNDUP(('Giả định'!C16+'Giả định'!C17)/'Giả định'!C34,0))*'Giả định'!C38+'Giả định'!C35*'Giả định'!C39)*12*'Giả định'!C40</f>
        <v>2001600000</v>
      </c>
      <c r="D18" s="12">
        <f>('Giả định'!D32*'Giả định'!D36+'Giả định'!D33*'Giả định'!D37+MAX(1,ROUNDUP(('Giả định'!D16+'Giả định'!D17)/'Giả định'!D34,0))*'Giả định'!D38+'Giả định'!D35*'Giả định'!D39)*12*'Giả định'!D40</f>
        <v>4968000000</v>
      </c>
    </row>
    <row r="19" spans="1:4">
      <c r="A19" t="s">
        <v>94</v>
      </c>
      <c r="B19" s="12">
        <f>B16*'Giả định'!B41+B17*'Giả định'!B42</f>
        <v>150000000</v>
      </c>
      <c r="C19" s="12">
        <f>C16*'Giả định'!C41+C17*'Giả định'!C42</f>
        <v>400000000</v>
      </c>
      <c r="D19" s="12">
        <f>D16*'Giả định'!D41+D17*'Giả định'!D42</f>
        <v>1000000000</v>
      </c>
    </row>
    <row r="20" spans="1:4">
      <c r="A20" t="s">
        <v>95</v>
      </c>
      <c r="B20" s="12">
        <f>'Giả định'!B43</f>
        <v>100000000</v>
      </c>
      <c r="C20" s="12">
        <f>'Giả định'!C43</f>
        <v>200000000</v>
      </c>
      <c r="D20" s="12">
        <f>'Giả định'!D43</f>
        <v>300000000</v>
      </c>
    </row>
    <row r="21" spans="1:4">
      <c r="A21" t="s">
        <v>96</v>
      </c>
      <c r="B21" s="12">
        <f>'Giả định'!B44+'Giả định'!B16*'Giả định'!B45+'Giả định'!B17*'Giả định'!B46</f>
        <v>86000000</v>
      </c>
      <c r="C21" s="12">
        <f>'Giả định'!C44+'Giả định'!C16*'Giả định'!C45+'Giả định'!C17*'Giả định'!C46</f>
        <v>228000000</v>
      </c>
      <c r="D21" s="12">
        <f>'Giả định'!D44+'Giả định'!D16*'Giả định'!D45+'Giả định'!D17*'Giả định'!D46</f>
        <v>610000000</v>
      </c>
    </row>
    <row r="22" spans="1:4">
      <c r="A22" t="s">
        <v>97</v>
      </c>
      <c r="B22" s="12">
        <f>B8*'Giả định'!B47</f>
        <v>28350000</v>
      </c>
      <c r="C22" s="12">
        <f>C8*'Giả định'!C47</f>
        <v>74700000</v>
      </c>
      <c r="D22" s="12">
        <f>D8*'Giả định'!D47</f>
        <v>197100000</v>
      </c>
    </row>
    <row r="23" spans="1:4">
      <c r="A23" t="s">
        <v>98</v>
      </c>
      <c r="B23" s="12">
        <f>'Giả định'!B48</f>
        <v>50000000</v>
      </c>
      <c r="C23" s="12">
        <f>'Giả định'!C48</f>
        <v>200000000</v>
      </c>
      <c r="D23" s="12">
        <f>'Giả định'!D48</f>
        <v>300000000</v>
      </c>
    </row>
    <row r="24" spans="1:4">
      <c r="A24" t="s">
        <v>99</v>
      </c>
      <c r="B24" s="12">
        <f>'Giả định'!B49</f>
        <v>50000000</v>
      </c>
      <c r="C24" s="12">
        <f>'Giả định'!C49</f>
        <v>240000000</v>
      </c>
      <c r="D24" s="12">
        <f>'Giả định'!D49</f>
        <v>480000000</v>
      </c>
    </row>
    <row r="25" spans="1:4">
      <c r="A25" t="s">
        <v>100</v>
      </c>
      <c r="B25" s="12">
        <f>SUM(B18:B24)*'Giả định'!B50</f>
        <v>131395000</v>
      </c>
      <c r="C25" s="12">
        <f>SUM(C18:C24)*'Giả định'!C50</f>
        <v>334430000</v>
      </c>
      <c r="D25" s="12">
        <f>SUM(D18:D24)*'Giả định'!D50</f>
        <v>785510000</v>
      </c>
    </row>
    <row r="26" spans="1:4">
      <c r="A26" s="13" t="s">
        <v>101</v>
      </c>
      <c r="B26" s="14">
        <f>SUM(B18:B25)</f>
        <v>1445345000</v>
      </c>
      <c r="C26" s="14">
        <f>SUM(C18:C25)</f>
        <v>3678730000</v>
      </c>
      <c r="D26" s="14">
        <f>SUM(D18:D25)</f>
        <v>8640610000</v>
      </c>
    </row>
    <row r="27" spans="1:4">
      <c r="A27" s="13" t="s">
        <v>102</v>
      </c>
      <c r="B27" s="14">
        <f>B15-B26</f>
        <v>444655000</v>
      </c>
      <c r="C27" s="14">
        <f>C15-C26</f>
        <v>1301270000</v>
      </c>
      <c r="D27" s="14">
        <f>D15-D26</f>
        <v>4499390000</v>
      </c>
    </row>
    <row r="28" spans="1:4">
      <c r="A28" t="s">
        <v>103</v>
      </c>
      <c r="B28" s="12">
        <f>B27</f>
        <v>444655000</v>
      </c>
      <c r="C28" s="12">
        <f>B28+C27</f>
        <v>1745925000</v>
      </c>
      <c r="D28" s="12">
        <f>C28+D27</f>
        <v>6245315000</v>
      </c>
    </row>
    <row r="29" spans="1:4">
      <c r="A29" s="13" t="s">
        <v>104</v>
      </c>
      <c r="B29" s="14"/>
      <c r="C29" s="14"/>
      <c r="D29" s="14">
        <f>-MIN(0,MIN(B28:D28))</f>
        <v>0</v>
      </c>
    </row>
    <row r="30" spans="1:4">
      <c r="A30" t="s">
        <v>105</v>
      </c>
      <c r="B30" s="15">
        <f>IF(B15=0,0,B8/B15)</f>
        <v>1</v>
      </c>
      <c r="C30" s="15">
        <f>IF(C15=0,0,C8/C15)</f>
        <v>1</v>
      </c>
      <c r="D30" s="15">
        <f>IF(D15=0,0,D8/D15)</f>
        <v>1</v>
      </c>
    </row>
    <row r="32" spans="1:4">
      <c r="A32" s="16" t="s">
        <v>106</v>
      </c>
      <c r="B32" s="17"/>
      <c r="C32" s="17"/>
      <c r="D32" s="17"/>
    </row>
    <row r="33" spans="1:4">
      <c r="A33" s="17"/>
      <c r="B33" s="17"/>
      <c r="C33" s="17"/>
      <c r="D33" s="17"/>
    </row>
    <row r="34" spans="1:4">
      <c r="A34" s="17"/>
      <c r="B34" s="17"/>
      <c r="C34" s="17"/>
      <c r="D34" s="17"/>
    </row>
  </sheetData>
  <mergeCells count="1">
    <mergeCell ref="A32:D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Hướng dẫn</vt:lpstr>
      <vt:lpstr>Giả định</vt:lpstr>
      <vt:lpstr>Dự phóng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Tran</cp:lastModifiedBy>
  <dcterms:created xsi:type="dcterms:W3CDTF">2026-10-29T18:08:59Z</dcterms:created>
  <dcterms:modified xsi:type="dcterms:W3CDTF">2026-10-30T01:14:59Z</dcterms:modified>
</cp:coreProperties>
</file>