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quan &amp; Chỉ số" sheetId="1" state="visible" r:id="rId1"/>
    <sheet xmlns:r="http://schemas.openxmlformats.org/officeDocument/2006/relationships" name="Bảng kiểm VietGAP" sheetId="2" state="visible" r:id="rId2"/>
    <sheet xmlns:r="http://schemas.openxmlformats.org/officeDocument/2006/relationships" name="Nhật ký QL Đàn &amp; Giống" sheetId="3" state="visible" r:id="rId3"/>
    <sheet xmlns:r="http://schemas.openxmlformats.org/officeDocument/2006/relationships" name="Nhật ký Thức ăn &amp; Nước" sheetId="4" state="visible" r:id="rId4"/>
    <sheet xmlns:r="http://schemas.openxmlformats.org/officeDocument/2006/relationships" name="Nhật ký Thú y &amp; Vaccine" sheetId="5" state="visible" r:id="rId5"/>
    <sheet xmlns:r="http://schemas.openxmlformats.org/officeDocument/2006/relationships" name="Nhật ký Vệ sinh &amp; Môi trườ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1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11"/>
    </font>
    <font>
      <name val="Calibri"/>
      <b val="1"/>
      <color rgb="00595959"/>
      <sz val="10"/>
    </font>
    <font>
      <name val="Calibri"/>
      <b val="1"/>
      <color rgb="001F4E78"/>
      <sz val="18"/>
    </font>
    <font>
      <name val="Calibri"/>
      <b val="1"/>
      <sz val="11"/>
    </font>
    <font>
      <name val="Calibri"/>
      <b val="1"/>
      <color rgb="00FFFFFF"/>
      <sz val="11"/>
    </font>
    <font>
      <name val="Calibri"/>
      <color rgb="000000FF"/>
      <sz val="11"/>
      <u val="single"/>
    </font>
    <font>
      <name val="Calibri"/>
      <color rgb="00595959"/>
      <sz val="10"/>
    </font>
    <font>
      <name val="Calibri"/>
      <sz val="11"/>
    </font>
    <font>
      <name val="Calibri"/>
      <i val="1"/>
      <sz val="10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  <fill>
      <patternFill patternType="solid">
        <fgColor rgb="00DCE6F1"/>
        <bgColor rgb="00DCE6F1"/>
      </patternFill>
    </fill>
    <fill>
      <patternFill patternType="solid">
        <fgColor rgb="00FCE4D6"/>
        <bgColor rgb="00FCE4D6"/>
      </patternFill>
    </fill>
    <fill>
      <patternFill patternType="solid">
        <fgColor rgb="00D9E1F2"/>
        <bgColor rgb="00D9E1F2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E78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D9D9D9"/>
      </top>
      <bottom style="double">
        <color rgb="001F4E78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/>
    </xf>
    <xf numFmtId="0" fontId="8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center" vertical="center" wrapText="1"/>
    </xf>
    <xf numFmtId="0" fontId="0" fillId="6" borderId="2" pivotButton="0" quotePrefix="0" xfId="0"/>
    <xf numFmtId="0" fontId="9" fillId="0" borderId="0" pivotButton="0" quotePrefix="0" xfId="0"/>
    <xf numFmtId="0" fontId="0" fillId="3" borderId="2" pivotButton="0" quotePrefix="0" xfId="0"/>
    <xf numFmtId="0" fontId="0" fillId="4" borderId="2" pivotButton="0" quotePrefix="0" xfId="0"/>
    <xf numFmtId="0" fontId="0" fillId="7" borderId="2" pivotButton="0" quotePrefix="0" xfId="0"/>
    <xf numFmtId="0" fontId="9" fillId="5" borderId="2" applyAlignment="1" pivotButton="0" quotePrefix="0" xfId="0">
      <alignment horizontal="left" vertical="center" wrapText="1"/>
    </xf>
    <xf numFmtId="0" fontId="5" fillId="8" borderId="2" applyAlignment="1" pivotButton="0" quotePrefix="0" xfId="0">
      <alignment horizontal="center" vertical="center" wrapText="1"/>
    </xf>
    <xf numFmtId="0" fontId="10" fillId="5" borderId="2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left" vertical="center" wrapText="1"/>
    </xf>
    <xf numFmtId="0" fontId="10" fillId="0" borderId="2" applyAlignment="1" pivotButton="0" quotePrefix="0" xfId="0">
      <alignment horizontal="left" vertical="center" wrapText="1"/>
    </xf>
    <xf numFmtId="0" fontId="9" fillId="0" borderId="2" applyAlignment="1" pivotButton="0" quotePrefix="0" xfId="0">
      <alignment horizontal="center" vertical="center" wrapText="1"/>
    </xf>
    <xf numFmtId="0" fontId="5" fillId="0" borderId="3" pivotButton="0" quotePrefix="0" xfId="0"/>
    <xf numFmtId="0" fontId="5" fillId="0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9" fillId="5" borderId="2" applyAlignment="1" pivotButton="0" quotePrefix="0" xfId="0">
      <alignment horizontal="center" vertical="center" wrapText="1"/>
    </xf>
    <xf numFmtId="164" fontId="9" fillId="6" borderId="2" applyAlignment="1" pivotButton="0" quotePrefix="0" xfId="0">
      <alignment horizontal="right" vertical="center"/>
    </xf>
    <xf numFmtId="3" fontId="9" fillId="6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B&#7843;ng ki&#7875;m VietGAP'!A1" TargetMode="External" Id="rId1"/><Relationship Type="http://schemas.openxmlformats.org/officeDocument/2006/relationships/hyperlink" Target="#'Nh&#7853;t k&#253; QL &#272;&#224;n &amp; Gi&#7889;ng'!A1" TargetMode="External" Id="rId2"/><Relationship Type="http://schemas.openxmlformats.org/officeDocument/2006/relationships/hyperlink" Target="#'Nh&#7853;t k&#253; Th&#7913;c &#259;n &amp; N&#432;&#7899;c'!A1" TargetMode="External" Id="rId3"/><Relationship Type="http://schemas.openxmlformats.org/officeDocument/2006/relationships/hyperlink" Target="#'Nh&#7853;t k&#253; Th&#250; y &amp; Vaccine'!A1" TargetMode="External" Id="rId4"/><Relationship Type="http://schemas.openxmlformats.org/officeDocument/2006/relationships/hyperlink" Target="#'Nh&#7853;t k&#253; V&#7879; sinh &amp; M&#244;i tr&#432;&#7901;ng'!A1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30" customWidth="1" min="3" max="3"/>
    <col width="20" customWidth="1" min="4" max="4"/>
    <col width="22" customWidth="1" min="5" max="5"/>
    <col width="55" customWidth="1" min="6" max="6"/>
    <col width="16" customWidth="1" min="7" max="7"/>
    <col width="35" customWidth="1" min="8" max="8"/>
    <col width="12" customWidth="1" min="9" max="9"/>
    <col width="12" customWidth="1" min="10" max="10"/>
    <col width="28" customWidth="1" min="11" max="11"/>
    <col width="12" customWidth="1" min="12" max="12"/>
  </cols>
  <sheetData>
    <row r="1"/>
    <row r="2">
      <c r="B2" s="1" t="inlineStr">
        <is>
          <t>HỆ THỐNG QUẢN LÝ VIETGAP CHĂN NUÔI HEO TRANG TRẠI</t>
        </is>
      </c>
    </row>
    <row r="3">
      <c r="B3" s="2" t="inlineStr">
        <is>
          <t>Bảng kiểm tra đánh giá nội bộ &amp; Mẫu sổ ghi chép nhật ký chăn nuôi tích hợp Phần mềm Trang trại</t>
        </is>
      </c>
    </row>
    <row r="4"/>
    <row r="5">
      <c r="B5" s="3" t="inlineStr">
        <is>
          <t>TỔNG SỐ TIÊU CHÍ VIETGAP</t>
        </is>
      </c>
      <c r="E5" s="3" t="inlineStr">
        <is>
          <t>TIÊU CHÍ LOẠI A (BẮT BUỘC 100%)</t>
        </is>
      </c>
      <c r="H5" s="3" t="inlineStr">
        <is>
          <t>TIÊU CHÍ LOẠI B (YÊU CẦU &gt;= 50%)</t>
        </is>
      </c>
      <c r="K5" s="3" t="inlineStr">
        <is>
          <t>KẾT LUẬN ĐÁNH GIÁ VIETGAP</t>
        </is>
      </c>
    </row>
    <row r="6">
      <c r="B6" s="4" t="n">
        <v>45</v>
      </c>
      <c r="E6" s="5">
        <f>COUNTIFS('Bảng kiểm VietGAP'!C9:C53, "A", 'Bảng kiểm VietGAP'!E9:E53, "Đạt") &amp; " / 31"</f>
        <v/>
      </c>
      <c r="H6" s="5">
        <f>COUNTIFS('Bảng kiểm VietGAP'!C9:C53, "B", 'Bảng kiểm VietGAP'!E9:E53, "Đạt") &amp; " / 14"</f>
        <v/>
      </c>
      <c r="K6" s="5">
        <f>IF(AND(COUNTIFS('Bảng kiểm VietGAP'!C9:C53, "A", 'Bảng kiểm VietGAP'!E9:E53, "Đạt")=31, COUNTIFS('Bảng kiểm VietGAP'!C9:C53, "B", 'Bảng kiểm VietGAP'!E9:E53, "Đạt")&gt;=7), "ĐẠT CHUẨN", "CHƯA ĐẠT")</f>
        <v/>
      </c>
    </row>
    <row r="7"/>
    <row r="8"/>
    <row r="9">
      <c r="B9" s="6" t="inlineStr">
        <is>
          <t>DANH MỤC CÁC BẢNG NGHỆ SĨ &amp; MÔ-ĐỦN NHẬT KÝ</t>
        </is>
      </c>
    </row>
    <row r="10">
      <c r="B10" s="7" t="inlineStr">
        <is>
          <t>STT</t>
        </is>
      </c>
      <c r="C10" s="7" t="inlineStr">
        <is>
          <t>Tên Danh Mục / Sổ Nhật Ký</t>
        </is>
      </c>
      <c r="D10" s="7" t="inlineStr">
        <is>
          <t>Mã Mô-đun App</t>
        </is>
      </c>
      <c r="E10" s="7" t="inlineStr">
        <is>
          <t>Số Lượng Bản Ghi</t>
        </is>
      </c>
      <c r="F10" s="7" t="inlineStr">
        <is>
          <t>Mục Đích &amp; Phạm Vi Quản Lý</t>
        </is>
      </c>
      <c r="G10" s="7" t="inlineStr">
        <is>
          <t>Truy Cập</t>
        </is>
      </c>
    </row>
    <row r="11">
      <c r="B11" s="8" t="n">
        <v>1</v>
      </c>
      <c r="C11" s="9" t="inlineStr">
        <is>
          <t>Bảng kiểm VietGAP</t>
        </is>
      </c>
      <c r="D11" s="10" t="inlineStr">
        <is>
          <t>MOD_CHECKLIST</t>
        </is>
      </c>
      <c r="E11" s="8">
        <f>COUNTA('Bảng kiểm VietGAP'!A9:A53)</f>
        <v/>
      </c>
      <c r="F11" s="11" t="inlineStr">
        <is>
          <t>Đánh giá 45 tiêu chí VietGAP chăn nuôi heo (31 loại A, 14 loại B)</t>
        </is>
      </c>
      <c r="G11" s="12" t="inlineStr">
        <is>
          <t>Xem chi tiết →</t>
        </is>
      </c>
    </row>
    <row r="12">
      <c r="B12" s="13" t="n">
        <v>2</v>
      </c>
      <c r="C12" s="14" t="inlineStr">
        <is>
          <t>Nhật ký QL Đàn &amp; Giống</t>
        </is>
      </c>
      <c r="D12" s="15" t="inlineStr">
        <is>
          <t>MOD_FLOCK_MGMT</t>
        </is>
      </c>
      <c r="E12" s="13">
        <f>COUNTA('Nhật ký QL Đàn &amp; Giống'!A9:A20)</f>
        <v/>
      </c>
      <c r="F12" s="16" t="inlineStr">
        <is>
          <t>Theo dõi phối giống, sinh sản, tăng trọng, biến động đàn heo</t>
        </is>
      </c>
      <c r="G12" s="17" t="inlineStr">
        <is>
          <t>Xem chi tiết →</t>
        </is>
      </c>
    </row>
    <row r="13">
      <c r="B13" s="8" t="n">
        <v>3</v>
      </c>
      <c r="C13" s="9" t="inlineStr">
        <is>
          <t>Nhật ký Thức ăn &amp; Nước</t>
        </is>
      </c>
      <c r="D13" s="10" t="inlineStr">
        <is>
          <t>MOD_FEED_WATER</t>
        </is>
      </c>
      <c r="E13" s="8">
        <f>COUNTA('Nhật ký Thức ăn &amp; Nước'!A9:A20)</f>
        <v/>
      </c>
      <c r="F13" s="11" t="inlineStr">
        <is>
          <t>Quản lý nhập/xuất kho cám, nước uống, trộn thuốc, FCR</t>
        </is>
      </c>
      <c r="G13" s="12" t="inlineStr">
        <is>
          <t>Xem chi tiết →</t>
        </is>
      </c>
    </row>
    <row r="14">
      <c r="B14" s="13" t="n">
        <v>4</v>
      </c>
      <c r="C14" s="14" t="inlineStr">
        <is>
          <t>Nhật ký Thú y &amp; Vaccine</t>
        </is>
      </c>
      <c r="D14" s="15" t="inlineStr">
        <is>
          <t>MOD_VET_HEALTH</t>
        </is>
      </c>
      <c r="E14" s="13">
        <f>COUNTA('Nhật ký Thú y &amp; Vaccine'!A9:A20)</f>
        <v/>
      </c>
      <c r="F14" s="16" t="inlineStr">
        <is>
          <t>Lịch tiêm phòng vắc xin, điều trị bệnh, thời gian ngưng thuốc, kim gãy</t>
        </is>
      </c>
      <c r="G14" s="17" t="inlineStr">
        <is>
          <t>Xem chi tiết →</t>
        </is>
      </c>
    </row>
    <row r="15">
      <c r="B15" s="8" t="n">
        <v>5</v>
      </c>
      <c r="C15" s="9" t="inlineStr">
        <is>
          <t>Nhật ký Vệ sinh &amp; Môi trường</t>
        </is>
      </c>
      <c r="D15" s="10" t="inlineStr">
        <is>
          <t>MOD_SANITA_ENV</t>
        </is>
      </c>
      <c r="E15" s="8">
        <f>COUNTA('Nhật ký Vệ sinh &amp; Môi trường'!A9:A20)</f>
        <v/>
      </c>
      <c r="F15" s="11" t="inlineStr">
        <is>
          <t>Sát trùng chuồng trại, xử lý chất thải/Biogas, diệt ruồi muỗi chuột</t>
        </is>
      </c>
      <c r="G15" s="12" t="inlineStr">
        <is>
          <t>Xem chi tiết →</t>
        </is>
      </c>
    </row>
    <row r="16"/>
    <row r="17"/>
    <row r="18">
      <c r="B18" s="6" t="inlineStr">
        <is>
          <t>QUY ƯỚC MÀU SẮC &amp; ĐỊNH DẠNG TÀI LIỆU</t>
        </is>
      </c>
    </row>
    <row r="19">
      <c r="B19" s="18" t="inlineStr"/>
      <c r="C19" s="6" t="inlineStr">
        <is>
          <t>Ô Nhập liệu (Input)</t>
        </is>
      </c>
      <c r="D19" s="19" t="inlineStr">
        <is>
          <t>Dành cho nhân viên trang trại nhập thông tin thực tế</t>
        </is>
      </c>
    </row>
    <row r="20">
      <c r="B20" s="20" t="inlineStr"/>
      <c r="C20" s="6" t="inlineStr">
        <is>
          <t>Ô Tính toán / Công thức</t>
        </is>
      </c>
      <c r="D20" s="19" t="inlineStr">
        <is>
          <t>Hệ thống tự động tính toán / Tổng hợp (Không sửa trực tiếp)</t>
        </is>
      </c>
    </row>
    <row r="21">
      <c r="B21" s="21" t="inlineStr"/>
      <c r="C21" s="6" t="inlineStr">
        <is>
          <t>Tiêu đề Mẫu Sổ / Tiêu chí A</t>
        </is>
      </c>
      <c r="D21" s="19" t="inlineStr">
        <is>
          <t>Bắt buộc tuân thủ 100% theo quy chuẩn VietGAP</t>
        </is>
      </c>
    </row>
    <row r="22">
      <c r="B22" s="20" t="inlineStr"/>
      <c r="C22" s="6" t="inlineStr">
        <is>
          <t>Trạng thái Đạt</t>
        </is>
      </c>
      <c r="D22" s="19" t="inlineStr">
        <is>
          <t>Đáp ứng hoàn toàn yêu cầu tiêu chuẩn kỹ thuật</t>
        </is>
      </c>
    </row>
    <row r="23">
      <c r="B23" s="22" t="inlineStr"/>
      <c r="C23" s="6" t="inlineStr">
        <is>
          <t>Trạng thái Chưa đạt</t>
        </is>
      </c>
      <c r="D23" s="19" t="inlineStr">
        <is>
          <t>Cần có hành động khắc phục/điều chỉnh ngay</t>
        </is>
      </c>
    </row>
  </sheetData>
  <mergeCells count="8">
    <mergeCell ref="B6:C6"/>
    <mergeCell ref="E6:F6"/>
    <mergeCell ref="H6:I6"/>
    <mergeCell ref="B5:C5"/>
    <mergeCell ref="E5:F5"/>
    <mergeCell ref="K5:L5"/>
    <mergeCell ref="H5:I5"/>
    <mergeCell ref="K6:L6"/>
  </mergeCells>
  <hyperlinks>
    <hyperlink xmlns:r="http://schemas.openxmlformats.org/officeDocument/2006/relationships" ref="G11" r:id="rId1"/>
    <hyperlink xmlns:r="http://schemas.openxmlformats.org/officeDocument/2006/relationships" ref="G12" r:id="rId2"/>
    <hyperlink xmlns:r="http://schemas.openxmlformats.org/officeDocument/2006/relationships" ref="G13" r:id="rId3"/>
    <hyperlink xmlns:r="http://schemas.openxmlformats.org/officeDocument/2006/relationships" ref="G14" r:id="rId4"/>
    <hyperlink xmlns:r="http://schemas.openxmlformats.org/officeDocument/2006/relationships" ref="G15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4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2" customWidth="1" min="3" max="3"/>
    <col width="25" customWidth="1" min="4" max="4"/>
    <col width="14" customWidth="1" min="5" max="5"/>
    <col width="45" customWidth="1" min="6" max="6"/>
  </cols>
  <sheetData>
    <row r="1"/>
    <row r="2">
      <c r="A2" s="1" t="inlineStr">
        <is>
          <t>BẢNG KIỂM TRA ĐÁNH GIÁ NỘI BỘ VIETGAP CHĂN NUÔI HEO</t>
        </is>
      </c>
    </row>
    <row r="3">
      <c r="A3" s="2" t="inlineStr">
        <is>
          <t>(Kèm theo Quyết định số 4653/QĐ-BNN-CN của Bộ Nông nghiệp &amp; Phát triển Nông thôn)</t>
        </is>
      </c>
    </row>
    <row r="4"/>
    <row r="5">
      <c r="A5" s="6" t="inlineStr">
        <is>
          <t>Tên trang trại: Trang trại Chăn nuôi Heo Công nghệ cao VietGAP</t>
        </is>
      </c>
      <c r="D5" s="6" t="inlineStr">
        <is>
          <t>Mã số đăng ký: VG-PIG-2026-088</t>
        </is>
      </c>
    </row>
    <row r="6">
      <c r="A6" s="19" t="inlineStr">
        <is>
          <t>Ngày đánh giá: 2026-10-24</t>
        </is>
      </c>
      <c r="D6" s="19" t="inlineStr">
        <is>
          <t>Đoàn đánh giá: Ban Kiểm soát Nội bộ VietGAP</t>
        </is>
      </c>
    </row>
    <row r="7"/>
    <row r="8">
      <c r="A8" s="7" t="inlineStr">
        <is>
          <t>STT</t>
        </is>
      </c>
      <c r="B8" s="7" t="inlineStr">
        <is>
          <t>Hạng Mục / Tiêu Chí Đánh Giá VietGAP</t>
        </is>
      </c>
      <c r="C8" s="7" t="inlineStr">
        <is>
          <t>Mức Độ</t>
        </is>
      </c>
      <c r="D8" s="7" t="inlineStr">
        <is>
          <t>Phương Pháp Đánh Giá</t>
        </is>
      </c>
      <c r="E8" s="7" t="inlineStr">
        <is>
          <t>Kết Quả</t>
        </is>
      </c>
      <c r="F8" s="7" t="inlineStr">
        <is>
          <t>Yêu Cầu Điều Chỉnh / Bằng Chứng Ghi Nhận</t>
        </is>
      </c>
    </row>
    <row r="9">
      <c r="A9" s="8" t="n">
        <v>1</v>
      </c>
      <c r="B9" s="23" t="inlineStr">
        <is>
          <t>Từ trang trại đến trường học, bệnh viện, khu dân cư, nơi tập trung đông người, nguồn nước mặt có đạt khoảng cách tối thiểu theo quy định?</t>
        </is>
      </c>
      <c r="C9" s="24" t="inlineStr">
        <is>
          <t>A</t>
        </is>
      </c>
      <c r="D9" s="25" t="inlineStr">
        <is>
          <t>Quan sát thực tế &amp; Đo đạc</t>
        </is>
      </c>
      <c r="E9" s="26" t="inlineStr">
        <is>
          <t>Đạt</t>
        </is>
      </c>
      <c r="F9" s="23" t="inlineStr">
        <is>
          <t>Cách khu dân cư 550m, đạt khoảng cách pháp lý &gt; 500m</t>
        </is>
      </c>
    </row>
    <row r="10">
      <c r="A10" s="13" t="n">
        <v>2</v>
      </c>
      <c r="B10" s="27" t="inlineStr">
        <is>
          <t>Có đủ nguồn nước sạch phục vụ chăn nuôi và xử lý môi trường đạt tiêu chuẩn QCVN 01-39:2011/BNNPTNT?</t>
        </is>
      </c>
      <c r="C10" s="24" t="inlineStr">
        <is>
          <t>A</t>
        </is>
      </c>
      <c r="D10" s="28" t="inlineStr">
        <is>
          <t>Xem kết quả kiểm nghiệm nước</t>
        </is>
      </c>
      <c r="E10" s="26" t="inlineStr">
        <is>
          <t>Đạt</t>
        </is>
      </c>
      <c r="F10" s="27" t="inlineStr">
        <is>
          <t>Có phiếu kiểm nghiệm nước giếng khoan định kỳ 6 tháng/lần</t>
        </is>
      </c>
    </row>
    <row r="11">
      <c r="A11" s="8" t="n">
        <v>3</v>
      </c>
      <c r="B11" s="23" t="inlineStr">
        <is>
          <t>Trại có sơ đồ thiết kế bố trí riêng biệt các khu: chuồng nuôi, kho thức ăn, kho thuốc, khu xử lý chất thải, đảm bảo ATSH và PCCC?</t>
        </is>
      </c>
      <c r="C11" s="24" t="inlineStr">
        <is>
          <t>A</t>
        </is>
      </c>
      <c r="D11" s="25" t="inlineStr">
        <is>
          <t>Quan sát sơ đồ &amp; thực tế</t>
        </is>
      </c>
      <c r="E11" s="26" t="inlineStr">
        <is>
          <t>Đạt</t>
        </is>
      </c>
      <c r="F11" s="23" t="inlineStr">
        <is>
          <t>Sơ đồ mặt bằng niêm yết tại văn phòng, các khu bố trí một chiều</t>
        </is>
      </c>
    </row>
    <row r="12">
      <c r="A12" s="13" t="n">
        <v>4</v>
      </c>
      <c r="B12" s="27" t="inlineStr">
        <is>
          <t>Trại chăn nuôi có tường hoặc hàng rào bao quanh để kiểm soát người, động vật và phương tiện ra vào trại?</t>
        </is>
      </c>
      <c r="C12" s="24" t="inlineStr">
        <is>
          <t>A</t>
        </is>
      </c>
      <c r="D12" s="28" t="inlineStr">
        <is>
          <t>Quan sát thực tế</t>
        </is>
      </c>
      <c r="E12" s="26" t="inlineStr">
        <is>
          <t>Đạt</t>
        </is>
      </c>
      <c r="F12" s="27" t="inlineStr">
        <is>
          <t>Hàng rào bê tông cao 2.2m bao quanh toàn bộ khuôn viên</t>
        </is>
      </c>
    </row>
    <row r="13">
      <c r="A13" s="8" t="n">
        <v>5</v>
      </c>
      <c r="B13" s="23" t="inlineStr">
        <is>
          <t>Tại cổng ra vào trại có bố trí khu vực khử trùng (hố sát trùng, phòng phun sương, hố rửa ủng)?</t>
        </is>
      </c>
      <c r="C13" s="24" t="inlineStr">
        <is>
          <t>A</t>
        </is>
      </c>
      <c r="D13" s="25" t="inlineStr">
        <is>
          <t>Quan sát thực tế</t>
        </is>
      </c>
      <c r="E13" s="26" t="inlineStr">
        <is>
          <t>Đạt</t>
        </is>
      </c>
      <c r="F13" s="23" t="inlineStr">
        <is>
          <t>Hố sát trùng xe 6m, phòng phun sương tự động cho công nhân</t>
        </is>
      </c>
    </row>
    <row r="14">
      <c r="A14" s="13" t="n">
        <v>6</v>
      </c>
      <c r="B14" s="27" t="inlineStr">
        <is>
          <t>Tại các khu chuồng nuôi có bố trí hố khử trùng hoặc chậu sát trùng độc lập?</t>
        </is>
      </c>
      <c r="C14" s="29" t="inlineStr">
        <is>
          <t>B</t>
        </is>
      </c>
      <c r="D14" s="28" t="inlineStr">
        <is>
          <t>Quan sát thực tế</t>
        </is>
      </c>
      <c r="E14" s="26" t="inlineStr">
        <is>
          <t>Đạt</t>
        </is>
      </c>
      <c r="F14" s="27" t="inlineStr">
        <is>
          <t>Có khay sát trùng ủng và vòi rửa tay trước cửa mỗi dãy chuồng</t>
        </is>
      </c>
    </row>
    <row r="15">
      <c r="A15" s="8" t="n">
        <v>7</v>
      </c>
      <c r="B15" s="23" t="inlineStr">
        <is>
          <t>Chuồng nuôi lợn có được thiết kế phù hợp với từng lứa tuổi của lợn (nái, hậu bị, lợn con, lợn thịt) và mục đích sản xuất?</t>
        </is>
      </c>
      <c r="C15" s="24" t="inlineStr">
        <is>
          <t>A</t>
        </is>
      </c>
      <c r="D15" s="25" t="inlineStr">
        <is>
          <t>Quan sát thực tế</t>
        </is>
      </c>
      <c r="E15" s="26" t="inlineStr">
        <is>
          <t>Đạt</t>
        </is>
      </c>
      <c r="F15" s="23" t="inlineStr">
        <is>
          <t>Hệ thống chuồng kín cooling pad duy trì nhiệt độ 25-28°C</t>
        </is>
      </c>
    </row>
    <row r="16">
      <c r="A16" s="13" t="n">
        <v>8</v>
      </c>
      <c r="B16" s="27" t="inlineStr">
        <is>
          <t>Máng ăn, máng uống dùng cho chăn nuôi lợn có đảm bảo không gây độc (inox/nhựa nguyên sinh) và dễ vệ sinh, tẩy rửa?</t>
        </is>
      </c>
      <c r="C16" s="24" t="inlineStr">
        <is>
          <t>A</t>
        </is>
      </c>
      <c r="D16" s="28" t="inlineStr">
        <is>
          <t>Quan sát thực tế</t>
        </is>
      </c>
      <c r="E16" s="26" t="inlineStr">
        <is>
          <t>Đạt</t>
        </is>
      </c>
      <c r="F16" s="27" t="inlineStr">
        <is>
          <t>Máng inox 304, núm uống tự động kiểm soát tốc độ dòng chảy</t>
        </is>
      </c>
    </row>
    <row r="17">
      <c r="A17" s="8" t="n">
        <v>9</v>
      </c>
      <c r="B17" s="23" t="inlineStr">
        <is>
          <t>Các thiết bị, dụng cụ sử dụng trong chăn nuôi có đảm bảo an toàn và dễ vệ sinh, bảo trì định kỳ?</t>
        </is>
      </c>
      <c r="C17" s="24" t="inlineStr">
        <is>
          <t>A</t>
        </is>
      </c>
      <c r="D17" s="25" t="inlineStr">
        <is>
          <t>Quan sát &amp; Kiểm tra hồ sơ</t>
        </is>
      </c>
      <c r="E17" s="26" t="inlineStr">
        <is>
          <t>Đạt</t>
        </is>
      </c>
      <c r="F17" s="23" t="inlineStr">
        <is>
          <t>Có sổ nhật ký bảo dưỡng hệ thống quạt gió, điện dự phòng</t>
        </is>
      </c>
    </row>
    <row r="18">
      <c r="A18" s="13" t="n">
        <v>10</v>
      </c>
      <c r="B18" s="27" t="inlineStr">
        <is>
          <t>Giống lợn nuôi trong trại có nguồn gốc rõ ràng, có hồ sơ lý lịch và chứng nhận kiểm dịch?</t>
        </is>
      </c>
      <c r="C18" s="24" t="inlineStr">
        <is>
          <t>A</t>
        </is>
      </c>
      <c r="D18" s="28" t="inlineStr">
        <is>
          <t>Kiểm tra hồ sơ giống</t>
        </is>
      </c>
      <c r="E18" s="26" t="inlineStr">
        <is>
          <t>Đạt</t>
        </is>
      </c>
      <c r="F18" s="27" t="inlineStr">
        <is>
          <t>Giống nhập từ C.P. có giấy kiểm dịch vùng và bản công bố chất lượng</t>
        </is>
      </c>
    </row>
    <row r="19">
      <c r="A19" s="8" t="n">
        <v>11</v>
      </c>
      <c r="B19" s="23" t="inlineStr">
        <is>
          <t>Lợn giống đưa từ bên ngoài vào trại có đảm bảo khỏe mạnh và được nuôi cách ly tối thiểu 14-21 ngày?</t>
        </is>
      </c>
      <c r="C19" s="24" t="inlineStr">
        <is>
          <t>A</t>
        </is>
      </c>
      <c r="D19" s="25" t="inlineStr">
        <is>
          <t>Kiểm tra thực tế &amp; Sổ cách ly</t>
        </is>
      </c>
      <c r="E19" s="26" t="inlineStr">
        <is>
          <t>Đạt</t>
        </is>
      </c>
      <c r="F19" s="23" t="inlineStr">
        <is>
          <t>Khu cách ly riêng biệt cách 120m, nuôi theo dõi 21 ngày trước khi nhập đàn</t>
        </is>
      </c>
    </row>
    <row r="20">
      <c r="A20" s="13" t="n">
        <v>12</v>
      </c>
      <c r="B20" s="27" t="inlineStr">
        <is>
          <t>Có quy trình chăn nuôi cho từng giống lợn theo mục đích sử dụng (nái đẻ, lợn thịt, hậu bị) và ban hành áp dụng?</t>
        </is>
      </c>
      <c r="C20" s="24" t="inlineStr">
        <is>
          <t>A</t>
        </is>
      </c>
      <c r="D20" s="28" t="inlineStr">
        <is>
          <t>Kiểm tra văn bản quy trình</t>
        </is>
      </c>
      <c r="E20" s="26" t="inlineStr">
        <is>
          <t>Đạt</t>
        </is>
      </c>
      <c r="F20" s="27" t="inlineStr">
        <is>
          <t>Bộ quy trình SOP được duyệt và dán tại bảng tin kỹ thuật</t>
        </is>
      </c>
    </row>
    <row r="21">
      <c r="A21" s="8" t="n">
        <v>13</v>
      </c>
      <c r="B21" s="23" t="inlineStr">
        <is>
          <t>Có áp dụng phương thức quản lý 'Cùng vào - Cùng ra' (All-in All-out) theo dãy hoặc theo chuồng?</t>
        </is>
      </c>
      <c r="C21" s="29" t="inlineStr">
        <is>
          <t>B</t>
        </is>
      </c>
      <c r="D21" s="25" t="inlineStr">
        <is>
          <t>Kiểm tra hồ sơ chu chuyển</t>
        </is>
      </c>
      <c r="E21" s="26" t="inlineStr">
        <is>
          <t>Đạt</t>
        </is>
      </c>
      <c r="F21" s="23" t="inlineStr">
        <is>
          <t>Thực hiện cùng vào cùng ra theo từng dãy chuồng nuôi thịt</t>
        </is>
      </c>
    </row>
    <row r="22">
      <c r="A22" s="13" t="n">
        <v>14</v>
      </c>
      <c r="B22" s="27" t="inlineStr">
        <is>
          <t>Trại có đầy đủ trang thiết bị và quy trình vệ sinh, tiêu độc, khử trùng đảm bảo an toàn sinh học?</t>
        </is>
      </c>
      <c r="C22" s="24" t="inlineStr">
        <is>
          <t>A</t>
        </is>
      </c>
      <c r="D22" s="28" t="inlineStr">
        <is>
          <t>Quan sát &amp; Kiểm tra hồ sơ</t>
        </is>
      </c>
      <c r="E22" s="26" t="inlineStr">
        <is>
          <t>Đạt</t>
        </is>
      </c>
      <c r="F22" s="27" t="inlineStr">
        <is>
          <t>Trang bị máy phun áp lực cao, thuốc khử trùng nằm trong danh mục cho phép</t>
        </is>
      </c>
    </row>
    <row r="23">
      <c r="A23" s="8" t="n">
        <v>15</v>
      </c>
      <c r="B23" s="23" t="inlineStr">
        <is>
          <t>Tất cả mọi người khi vào trại có tuân thủ việc tắm, thay quần áo, giày dép bảo hộ và đi đúng tuyến kỹ thuật?</t>
        </is>
      </c>
      <c r="C23" s="24" t="inlineStr">
        <is>
          <t>A</t>
        </is>
      </c>
      <c r="D23" s="25" t="inlineStr">
        <is>
          <t>Quan sát &amp; Kiểm tra sổ khách</t>
        </is>
      </c>
      <c r="E23" s="26" t="inlineStr">
        <is>
          <t>Đạt</t>
        </is>
      </c>
      <c r="F23" s="23" t="inlineStr">
        <is>
          <t>100% công nhân và khách cách ly 24h, tắm sát trùng trước khi vào</t>
        </is>
      </c>
    </row>
    <row r="24">
      <c r="A24" s="13" t="n">
        <v>16</v>
      </c>
      <c r="B24" s="27" t="inlineStr">
        <is>
          <t>Phương tiện vận chuyển ra vào trại (xe cám, xe lợn) có được phun khử trùng nghiêm ngặt?</t>
        </is>
      </c>
      <c r="C24" s="24" t="inlineStr">
        <is>
          <t>A</t>
        </is>
      </c>
      <c r="D24" s="28" t="inlineStr">
        <is>
          <t>Quan sát &amp; Nhật ký khử trùng</t>
        </is>
      </c>
      <c r="E24" s="26" t="inlineStr">
        <is>
          <t>Đạt</t>
        </is>
      </c>
      <c r="F24" s="27" t="inlineStr">
        <is>
          <t>Xe dừng phun sát trùng 15 phút tại cổng trước khi vào khu sản xuất</t>
        </is>
      </c>
    </row>
    <row r="25">
      <c r="A25" s="8" t="n">
        <v>17</v>
      </c>
      <c r="B25" s="23" t="inlineStr">
        <is>
          <t>Có định kỳ phun thuốc khử trùng trong chuồng nuôi (khi có hoặc không có heo)?</t>
        </is>
      </c>
      <c r="C25" s="29" t="inlineStr">
        <is>
          <t>B</t>
        </is>
      </c>
      <c r="D25" s="25" t="inlineStr">
        <is>
          <t>Kiểm tra sổ phun thuốc</t>
        </is>
      </c>
      <c r="E25" s="26" t="inlineStr">
        <is>
          <t>Đạt</t>
        </is>
      </c>
      <c r="F25" s="23" t="inlineStr">
        <is>
          <t>Phun sát trùng trong chuồng 1 lần/tuần bằng chế phẩm an toàn</t>
        </is>
      </c>
    </row>
    <row r="26">
      <c r="A26" s="13" t="n">
        <v>18</v>
      </c>
      <c r="B26" s="27" t="inlineStr">
        <is>
          <t>Có định kỳ phun thuốc khử trùng khu vực ngoài chuồng nuôi và đường nội bộ?</t>
        </is>
      </c>
      <c r="C26" s="29" t="inlineStr">
        <is>
          <t>B</t>
        </is>
      </c>
      <c r="D26" s="28" t="inlineStr">
        <is>
          <t>Kiểm tra sổ phun thuốc</t>
        </is>
      </c>
      <c r="E26" s="26" t="inlineStr">
        <is>
          <t>Đạt</t>
        </is>
      </c>
      <c r="F26" s="27" t="inlineStr">
        <is>
          <t>Phun khuôn viên và đường trục chính 2 lần/tuần</t>
        </is>
      </c>
    </row>
    <row r="27">
      <c r="A27" s="8" t="n">
        <v>19</v>
      </c>
      <c r="B27" s="23" t="inlineStr">
        <is>
          <t>Có định kỳ phát quang bụi rậm xung quanh khu chuồng nuôi và vệ sinh hệ thống cống rãnh?</t>
        </is>
      </c>
      <c r="C27" s="29" t="inlineStr">
        <is>
          <t>B</t>
        </is>
      </c>
      <c r="D27" s="25" t="inlineStr">
        <is>
          <t>Quan sát thực tế</t>
        </is>
      </c>
      <c r="E27" s="26" t="inlineStr">
        <is>
          <t>Đạt</t>
        </is>
      </c>
      <c r="F27" s="23" t="inlineStr">
        <is>
          <t>Khung cảnh sạch dọn hàng tuần, cống thoát nước thông thoáng</t>
        </is>
      </c>
    </row>
    <row r="28">
      <c r="A28" s="13" t="n">
        <v>20</v>
      </c>
      <c r="B28" s="27" t="inlineStr">
        <is>
          <t>Sau mỗi đợt nuôi hoặc sau khi chuyển đàn có thực hiện quy trình rửa sạch và để trống chuồng tối thiểu 7 ngày?</t>
        </is>
      </c>
      <c r="C28" s="24" t="inlineStr">
        <is>
          <t>A</t>
        </is>
      </c>
      <c r="D28" s="28" t="inlineStr">
        <is>
          <t>Kiểm tra nhật ký trống chuồng</t>
        </is>
      </c>
      <c r="E28" s="26" t="inlineStr">
        <is>
          <t>Đạt</t>
        </is>
      </c>
      <c r="F28" s="27" t="inlineStr">
        <is>
          <t>Trống chuồng từ 7-10 ngày sau khi quét vôi và phun sát trùng</t>
        </is>
      </c>
    </row>
    <row r="29">
      <c r="A29" s="8" t="n">
        <v>21</v>
      </c>
      <c r="B29" s="23" t="inlineStr">
        <is>
          <t>Thiết bị, dụng cụ và phương tiện phục vụ trong chăn nuôi có được tiêu độc khử trùng thường xuyên?</t>
        </is>
      </c>
      <c r="C29" s="24" t="inlineStr">
        <is>
          <t>A</t>
        </is>
      </c>
      <c r="D29" s="25" t="inlineStr">
        <is>
          <t>Quan sát &amp; Phỏng vấn</t>
        </is>
      </c>
      <c r="E29" s="26" t="inlineStr">
        <is>
          <t>Đạt</t>
        </is>
      </c>
      <c r="F29" s="23" t="inlineStr">
        <is>
          <t>Dụng cụ tiêm, xẻng, xe rùa được ngâm rửa chất sát trùng sau mỗi ca</t>
        </is>
      </c>
    </row>
    <row r="30">
      <c r="A30" s="13" t="n">
        <v>22</v>
      </c>
      <c r="B30" s="27" t="inlineStr">
        <is>
          <t>Sử dụng thức ăn chăn nuôi có nguồn gốc rõ ràng, còn hạn sử dụng và đảm bảo chất lượng?</t>
        </is>
      </c>
      <c r="C30" s="24" t="inlineStr">
        <is>
          <t>A</t>
        </is>
      </c>
      <c r="D30" s="28" t="inlineStr">
        <is>
          <t>Kiểm tra hóa đơn &amp; Nhãn mác</t>
        </is>
      </c>
      <c r="E30" s="26" t="inlineStr">
        <is>
          <t>Đạt</t>
        </is>
      </c>
      <c r="F30" s="27" t="inlineStr">
        <is>
          <t>Sử dụng 100% cám thương mại C.P. có chứng nhận hợp quy</t>
        </is>
      </c>
    </row>
    <row r="31">
      <c r="A31" s="8" t="n">
        <v>23</v>
      </c>
      <c r="B31" s="23" t="inlineStr">
        <is>
          <t>Tuân thủ việc không sử dụng thức ăn có chứa hóa chất, kháng sinh thuộc danh mục chất cấm?</t>
        </is>
      </c>
      <c r="C31" s="24" t="inlineStr">
        <is>
          <t>A</t>
        </is>
      </c>
      <c r="D31" s="25" t="inlineStr">
        <is>
          <t>Kiểm tra hồ sơ &amp; Phiếu xét nghiệm</t>
        </is>
      </c>
      <c r="E31" s="26" t="inlineStr">
        <is>
          <t>Đạt</t>
        </is>
      </c>
      <c r="F31" s="23" t="inlineStr">
        <is>
          <t>Cam kết không dùng chất cấm (Salbutamol, Ractopamine) có xét nghiệm nước tiểu</t>
        </is>
      </c>
    </row>
    <row r="32">
      <c r="A32" s="13" t="n">
        <v>24</v>
      </c>
      <c r="B32" s="27" t="inlineStr">
        <is>
          <t>Thức ăn dự trữ có được bảo quản trong kho đảm bảo khô ráo, thoáng mát, kê trên pallet và chống dịch hại?</t>
        </is>
      </c>
      <c r="C32" s="24" t="inlineStr">
        <is>
          <t>A</t>
        </is>
      </c>
      <c r="D32" s="28" t="inlineStr">
        <is>
          <t>Quan sát thực tế kho cám</t>
        </is>
      </c>
      <c r="E32" s="26" t="inlineStr">
        <is>
          <t>Đạt</t>
        </is>
      </c>
      <c r="F32" s="27" t="inlineStr">
        <is>
          <t>Kho trang bị quạt thông gió, cám kê pallet cách tường 30cm</t>
        </is>
      </c>
    </row>
    <row r="33">
      <c r="A33" s="8" t="n">
        <v>25</v>
      </c>
      <c r="B33" s="23" t="inlineStr">
        <is>
          <t>Có ghi chép đầy đủ và lưu giữ các thông tin về xuất nhập thức ăn và lịch sử sử dụng kháng sinh trộn?</t>
        </is>
      </c>
      <c r="C33" s="24" t="inlineStr">
        <is>
          <t>A</t>
        </is>
      </c>
      <c r="D33" s="25" t="inlineStr">
        <is>
          <t>Kiểm tra Sổ nhập xuất cám</t>
        </is>
      </c>
      <c r="E33" s="26" t="inlineStr">
        <is>
          <t>Đạt</t>
        </is>
      </c>
      <c r="F33" s="23" t="inlineStr">
        <is>
          <t>Ghi chép đầy đủ mã lô cám, ngày sản xuất và lứa heo sử dụng</t>
        </is>
      </c>
    </row>
    <row r="34">
      <c r="A34" s="13" t="n">
        <v>26</v>
      </c>
      <c r="B34" s="27" t="inlineStr">
        <is>
          <t>Có thường xuyên kiểm tra và vệ sinh khu vực sản xuất/kho chứa thức ăn để tránh gây ô nhiễm nấm mốc?</t>
        </is>
      </c>
      <c r="C34" s="29" t="inlineStr">
        <is>
          <t>B</t>
        </is>
      </c>
      <c r="D34" s="28" t="inlineStr">
        <is>
          <t>Quan sát thực tế</t>
        </is>
      </c>
      <c r="E34" s="26" t="inlineStr">
        <is>
          <t>Đạt</t>
        </is>
      </c>
      <c r="F34" s="27" t="inlineStr">
        <is>
          <t>Vệ sinh kho cám hàng ngày, không phát hiện bao cám rách mốc</t>
        </is>
      </c>
    </row>
    <row r="35">
      <c r="A35" s="8" t="n">
        <v>27</v>
      </c>
      <c r="B35" s="23" t="inlineStr">
        <is>
          <t>Nguồn nước cho chăn nuôi lợn uống có đảm bảo an toàn, kiểm tra chỉ tiêu vi sinh (E.coli, Coliforms) định kỳ?</t>
        </is>
      </c>
      <c r="C35" s="24" t="inlineStr">
        <is>
          <t>A</t>
        </is>
      </c>
      <c r="D35" s="25" t="inlineStr">
        <is>
          <t>Xem phiếu phân tích nước</t>
        </is>
      </c>
      <c r="E35" s="26" t="inlineStr">
        <is>
          <t>Đạt</t>
        </is>
      </c>
      <c r="F35" s="23" t="inlineStr">
        <is>
          <t>Nước qua hệ thống lọc RO/Clo, chỉ tiêu E.coli = 0</t>
        </is>
      </c>
    </row>
    <row r="36">
      <c r="A36" s="13" t="n">
        <v>28</v>
      </c>
      <c r="B36" s="27" t="inlineStr">
        <is>
          <t>Có kiểm tra thường xuyên hệ thống lọc và cấp nước chăn nuôi cho trang trại?</t>
        </is>
      </c>
      <c r="C36" s="29" t="inlineStr">
        <is>
          <t>B</t>
        </is>
      </c>
      <c r="D36" s="28" t="inlineStr">
        <is>
          <t>Kiểm tra sổ bảo dưỡng</t>
        </is>
      </c>
      <c r="E36" s="26" t="inlineStr">
        <is>
          <t>Đạt</t>
        </is>
      </c>
      <c r="F36" s="27" t="inlineStr">
        <is>
          <t>Súc rửa đường ống cấp nước 1 tháng/lần</t>
        </is>
      </c>
    </row>
    <row r="37">
      <c r="A37" s="8" t="n">
        <v>29</v>
      </c>
      <c r="B37" s="23" t="inlineStr">
        <is>
          <t>Vận chuyển lợn giữa các trại hoặc xuất bán có sử dụng phương tiện vận chuyển chuyên dụng, phù hợp mật độ?</t>
        </is>
      </c>
      <c r="C37" s="29" t="inlineStr">
        <is>
          <t>B</t>
        </is>
      </c>
      <c r="D37" s="25" t="inlineStr">
        <is>
          <t>Quan sát &amp; Kiểm tra sàn xe</t>
        </is>
      </c>
      <c r="E37" s="26" t="inlineStr">
        <is>
          <t>Đạt</t>
        </is>
      </c>
      <c r="F37" s="23" t="inlineStr">
        <is>
          <t>Sử dụng xe chở lợn 2 tầng có sàn chống trượt và mui bạt che</t>
        </is>
      </c>
    </row>
    <row r="38">
      <c r="A38" s="13" t="n">
        <v>30</v>
      </c>
      <c r="B38" s="27" t="inlineStr">
        <is>
          <t>Trước và sau khi vận chuyển lợn, phương tiện vận chuyển có được rửa sạch và khử trùng?</t>
        </is>
      </c>
      <c r="C38" s="24" t="inlineStr">
        <is>
          <t>A</t>
        </is>
      </c>
      <c r="D38" s="28" t="inlineStr">
        <is>
          <t>Kiểm tra biên bản khử trùng xe</t>
        </is>
      </c>
      <c r="E38" s="26" t="inlineStr">
        <is>
          <t>Đạt</t>
        </is>
      </c>
      <c r="F38" s="27" t="inlineStr">
        <is>
          <t>Xe có giấy xác nhận sát trùng của trạm kiểm dịch trước khi bốc lợn</t>
        </is>
      </c>
    </row>
    <row r="39">
      <c r="A39" s="8" t="n">
        <v>31</v>
      </c>
      <c r="B39" s="23" t="inlineStr">
        <is>
          <t>Có lập kế hoạch phòng trừ dịch bệnh, lịch tiêm phòng vaccine và quy trình tẩy giun sán phù hợp?</t>
        </is>
      </c>
      <c r="C39" s="29" t="inlineStr">
        <is>
          <t>B</t>
        </is>
      </c>
      <c r="D39" s="25" t="inlineStr">
        <is>
          <t>Kiểm tra Lịch vắc xin</t>
        </is>
      </c>
      <c r="E39" s="26" t="inlineStr">
        <is>
          <t>Đạt</t>
        </is>
      </c>
      <c r="F39" s="23" t="inlineStr">
        <is>
          <t>Có bảng lịch tiêm vắc xin cho nái và heo thịt theo tuần tuổi</t>
        </is>
      </c>
    </row>
    <row r="40">
      <c r="A40" s="13" t="n">
        <v>32</v>
      </c>
      <c r="B40" s="27" t="inlineStr">
        <is>
          <t>Có hồ sơ theo dõi dịch bệnh, nguyên nhân phát sinh, triệu chứng và loại thuốc phòng điều trị?</t>
        </is>
      </c>
      <c r="C40" s="24" t="inlineStr">
        <is>
          <t>A</t>
        </is>
      </c>
      <c r="D40" s="28" t="inlineStr">
        <is>
          <t>Kiểm tra Sổ theo dõi điều trị</t>
        </is>
      </c>
      <c r="E40" s="26" t="inlineStr">
        <is>
          <t>Đạt</t>
        </is>
      </c>
      <c r="F40" s="27" t="inlineStr">
        <is>
          <t>Cán bộ thú y chẩn đoán và ghi chép nhật ký bệnh hàng ngày</t>
        </is>
      </c>
    </row>
    <row r="41">
      <c r="A41" s="8" t="n">
        <v>33</v>
      </c>
      <c r="B41" s="23" t="inlineStr">
        <is>
          <t>Có sổ theo dõi sử dụng thuốc điều trị, ghi rõ tên thuốc, liều lượng, ngày bắt đầu - kết thúc và thời gian ngưng thuốc?</t>
        </is>
      </c>
      <c r="C41" s="24" t="inlineStr">
        <is>
          <t>A</t>
        </is>
      </c>
      <c r="D41" s="25" t="inlineStr">
        <is>
          <t>Kiểm tra Sổ dùng thuốc</t>
        </is>
      </c>
      <c r="E41" s="26" t="inlineStr">
        <is>
          <t>Đạt</t>
        </is>
      </c>
      <c r="F41" s="23" t="inlineStr">
        <is>
          <t>Tuân thủ nghiêm ngặt thời gian ngưng kháng sinh 14-21 ngày trước xuất bán</t>
        </is>
      </c>
    </row>
    <row r="42">
      <c r="A42" s="13" t="n">
        <v>34</v>
      </c>
      <c r="B42" s="27" t="inlineStr">
        <is>
          <t>Khi lợn ốm có nhốt ra khu nuôi cách ly? Khi phát hiện dịch bệnh nguy hiểm có báo ngay cho cơ quan thú y?</t>
        </is>
      </c>
      <c r="C42" s="24" t="inlineStr">
        <is>
          <t>A</t>
        </is>
      </c>
      <c r="D42" s="28" t="inlineStr">
        <is>
          <t>Quan sát ô bệnh viện &amp; Quy trình</t>
        </is>
      </c>
      <c r="E42" s="26" t="inlineStr">
        <is>
          <t>Đạt</t>
        </is>
      </c>
      <c r="F42" s="27" t="inlineStr">
        <is>
          <t>Có 2 ô cách ly tại cuối dãy, có quy trình báo cáo dịch ASF/PRRS</t>
        </is>
      </c>
    </row>
    <row r="43">
      <c r="A43" s="8" t="n">
        <v>35</v>
      </c>
      <c r="B43" s="23" t="inlineStr">
        <is>
          <t>Chất thải rắn (phân, nhau thai, xác lợn) có được thu gom chuyển đến nơi tập trung và xử lý hợp vệ sinh?</t>
        </is>
      </c>
      <c r="C43" s="24" t="inlineStr">
        <is>
          <t>A</t>
        </is>
      </c>
      <c r="D43" s="25" t="inlineStr">
        <is>
          <t>Quan sát khu xử lý phân</t>
        </is>
      </c>
      <c r="E43" s="26" t="inlineStr">
        <is>
          <t>Đạt</t>
        </is>
      </c>
      <c r="F43" s="23" t="inlineStr">
        <is>
          <t>Phân thu gom ép khô làm phân bón, xác heo xử lý hố hủy sinh học</t>
        </is>
      </c>
    </row>
    <row r="44">
      <c r="A44" s="13" t="n">
        <v>36</v>
      </c>
      <c r="B44" s="27" t="inlineStr">
        <is>
          <t>Chất thải lỏng có được thu gom vào hệ thống Biogas/hồ sinh học và xử lý đạt QCVN 62-MT:2016/BTNMT?</t>
        </is>
      </c>
      <c r="C44" s="24" t="inlineStr">
        <is>
          <t>A</t>
        </is>
      </c>
      <c r="D44" s="28" t="inlineStr">
        <is>
          <t>Xem phiếu kiểm nghiệm nước thải</t>
        </is>
      </c>
      <c r="E44" s="26" t="inlineStr">
        <is>
          <t>Đạt</t>
        </is>
      </c>
      <c r="F44" s="27" t="inlineStr">
        <is>
          <t>Hệ thống Biogas màng HDPE 3.000m3, nước thải đạt chuẩn B</t>
        </is>
      </c>
    </row>
    <row r="45">
      <c r="A45" s="8" t="n">
        <v>37</v>
      </c>
      <c r="B45" s="23" t="inlineStr">
        <is>
          <t>Trại có kế hoạch và thực hiện kiểm soát động vật hoang dã, loài gặm nhấm (chuột) và côn trùng (ruồi, muỗi)?</t>
        </is>
      </c>
      <c r="C45" s="29" t="inlineStr">
        <is>
          <t>B</t>
        </is>
      </c>
      <c r="D45" s="25" t="inlineStr">
        <is>
          <t>Quan sát hộc bẫy chuột</t>
        </is>
      </c>
      <c r="E45" s="26" t="inlineStr">
        <is>
          <t>Đạt</t>
        </is>
      </c>
      <c r="F45" s="23" t="inlineStr">
        <is>
          <t>Đặt 30 hộp bẫy chuột dọc hàng rào, phun diệt ruồi 2 tuần/lần</t>
        </is>
      </c>
    </row>
    <row r="46">
      <c r="A46" s="13" t="n">
        <v>38</v>
      </c>
      <c r="B46" s="27" t="inlineStr">
        <is>
          <t>Có quy trình và trang thiết bị ứng phó sự cố khẩn cấp (mất điện, cháy nổ, tai nạn lao động)?</t>
        </is>
      </c>
      <c r="C46" s="29" t="inlineStr">
        <is>
          <t>B</t>
        </is>
      </c>
      <c r="D46" s="28" t="inlineStr">
        <is>
          <t>Kiểm tra quy trình &amp; Máy phát</t>
        </is>
      </c>
      <c r="E46" s="26" t="inlineStr">
        <is>
          <t>Đạt</t>
        </is>
      </c>
      <c r="F46" s="27" t="inlineStr">
        <is>
          <t>Có máy phát điện tự động 250kVA, bình chữa cháy trang bị tại kho</t>
        </is>
      </c>
    </row>
    <row r="47">
      <c r="A47" s="8" t="n">
        <v>39</v>
      </c>
      <c r="B47" s="23" t="inlineStr">
        <is>
          <t>Người lao động có được ký hợp đồng lao động và khám sức khỏe định kỳ tối thiểu 1 lần/năm?</t>
        </is>
      </c>
      <c r="C47" s="29" t="inlineStr">
        <is>
          <t>B</t>
        </is>
      </c>
      <c r="D47" s="25" t="inlineStr">
        <is>
          <t>Kiểm tra hồ sơ nhân sự</t>
        </is>
      </c>
      <c r="E47" s="26" t="inlineStr">
        <is>
          <t>Đạt</t>
        </is>
      </c>
      <c r="F47" s="23" t="inlineStr">
        <is>
          <t>100% công nhân có hồ sơ khám sức khỏe và tiêm phòng uốn ván</t>
        </is>
      </c>
    </row>
    <row r="48">
      <c r="A48" s="13" t="n">
        <v>40</v>
      </c>
      <c r="B48" s="27" t="inlineStr">
        <is>
          <t>Người lao động có được tập huấn về quy trình chăn nuôi, an toàn sinh học, ATTP và bảo vệ môi trường?</t>
        </is>
      </c>
      <c r="C48" s="24" t="inlineStr">
        <is>
          <t>A</t>
        </is>
      </c>
      <c r="D48" s="28" t="inlineStr">
        <is>
          <t>Kiểm tra giấy chứng nhận tập huấn</t>
        </is>
      </c>
      <c r="E48" s="26" t="inlineStr">
        <is>
          <t>Đạt</t>
        </is>
      </c>
      <c r="F48" s="27" t="inlineStr">
        <is>
          <t>Có sổ điểm danh các buổi tập huấn kỹ thuật VietGAP định kỳ</t>
        </is>
      </c>
    </row>
    <row r="49">
      <c r="A49" s="8" t="n">
        <v>41</v>
      </c>
      <c r="B49" s="23" t="inlineStr">
        <is>
          <t>Trang trại chăn nuôi lợn có lập các sổ ghi chép theo dõi đầy đủ và lưu trữ hồ sơ tối thiểu 2 năm?</t>
        </is>
      </c>
      <c r="C49" s="24" t="inlineStr">
        <is>
          <t>A</t>
        </is>
      </c>
      <c r="D49" s="25" t="inlineStr">
        <is>
          <t>Kiểm tra kho hồ sơ &amp; App</t>
        </is>
      </c>
      <c r="E49" s="26" t="inlineStr">
        <is>
          <t>Đạt</t>
        </is>
      </c>
      <c r="F49" s="23" t="inlineStr">
        <is>
          <t>Lưu trữ song song bản giấy và dữ liệu số trên App quản lý trang trại</t>
        </is>
      </c>
    </row>
    <row r="50">
      <c r="A50" s="13" t="n">
        <v>42</v>
      </c>
      <c r="B50" s="27" t="inlineStr">
        <is>
          <t>Có tiến hành tự kiểm tra đánh giá nội bộ định kỳ tối thiểu 1 lần/năm?</t>
        </is>
      </c>
      <c r="C50" s="29" t="inlineStr">
        <is>
          <t>B</t>
        </is>
      </c>
      <c r="D50" s="28" t="inlineStr">
        <is>
          <t>Kiểm tra báo cáo đánh giá</t>
        </is>
      </c>
      <c r="E50" s="26" t="inlineStr">
        <is>
          <t>Đạt</t>
        </is>
      </c>
      <c r="F50" s="27" t="inlineStr">
        <is>
          <t>Thực hiện tự đánh giá nội bộ 6 tháng/lần</t>
        </is>
      </c>
    </row>
    <row r="51">
      <c r="A51" s="8" t="n">
        <v>43</v>
      </c>
      <c r="B51" s="23" t="inlineStr">
        <is>
          <t>Bảng kiểm tra đánh giá nội bộ VietGAP có đầy đủ chữ ký của đại diện trại và được lưu hồ sơ?</t>
        </is>
      </c>
      <c r="C51" s="24" t="inlineStr">
        <is>
          <t>A</t>
        </is>
      </c>
      <c r="D51" s="25" t="inlineStr">
        <is>
          <t>Kiểm tra hồ sơ lưu</t>
        </is>
      </c>
      <c r="E51" s="26" t="inlineStr">
        <is>
          <t>Đạt</t>
        </is>
      </c>
      <c r="F51" s="23" t="inlineStr">
        <is>
          <t>Bản lưu có đủ chữ ký Trưởng ban đánh giá và Chủ trang trại</t>
        </is>
      </c>
    </row>
    <row r="52">
      <c r="A52" s="13" t="n">
        <v>44</v>
      </c>
      <c r="B52" s="27" t="inlineStr">
        <is>
          <t>Trang trại có quy trình tiếp nhận, biểu mẫu và sổ theo dõi giải quyết khiếu nại của khách hàng?</t>
        </is>
      </c>
      <c r="C52" s="29" t="inlineStr">
        <is>
          <t>B</t>
        </is>
      </c>
      <c r="D52" s="28" t="inlineStr">
        <is>
          <t>Kiểm tra sổ khiếu nại</t>
        </is>
      </c>
      <c r="E52" s="26" t="inlineStr">
        <is>
          <t>Đạt</t>
        </is>
      </c>
      <c r="F52" s="27" t="inlineStr">
        <is>
          <t>Có biểu mẫu đơn khiếu nại và sổ theo dõi phản hồi chất lượng lợn thịt</t>
        </is>
      </c>
    </row>
    <row r="53">
      <c r="A53" s="8" t="n">
        <v>45</v>
      </c>
      <c r="B53" s="23" t="inlineStr">
        <is>
          <t>Tất cả lợn trong trại được định danh (bấm tai/đeo thẻ/mã lô) đảm bảo truy xuất nguồn gốc từ cơ sở giống?</t>
        </is>
      </c>
      <c r="C53" s="24" t="inlineStr">
        <is>
          <t>A</t>
        </is>
      </c>
      <c r="D53" s="25" t="inlineStr">
        <is>
          <t>Quan sát thẻ tai &amp; App</t>
        </is>
      </c>
      <c r="E53" s="26" t="inlineStr">
        <is>
          <t>Đạt</t>
        </is>
      </c>
      <c r="F53" s="23" t="inlineStr">
        <is>
          <t>100% nái đeo thẻ tai QR-Code, lợn thịt quản lý mã lô theo ô chuồng</t>
        </is>
      </c>
    </row>
    <row r="54">
      <c r="A54" s="30" t="inlineStr">
        <is>
          <t>TỔNG CỘNG</t>
        </is>
      </c>
      <c r="B54" s="30" t="inlineStr">
        <is>
          <t>TỔNG SỐ TIÊU CHÍ ĐÃ ĐÁNH GIÁ: 45 TIÊU CHÍ</t>
        </is>
      </c>
      <c r="C54" s="31" t="inlineStr">
        <is>
          <t>31 A / 14 B</t>
        </is>
      </c>
      <c r="D54" s="32" t="n"/>
      <c r="E54" s="31">
        <f>COUNTIF(E9:E53, "Đạt") &amp; " ĐẠT"</f>
        <v/>
      </c>
      <c r="F54" s="32" t="n"/>
    </row>
  </sheetData>
  <dataValidations count="1">
    <dataValidation sqref="E9:E53" showDropDown="0" showInputMessage="0" showErrorMessage="0" allowBlank="1" type="list">
      <formula1>"Đạt,Chưa đạt,N/A"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1" workbookViewId="0">
      <selection activeCell="A1" sqref="A1"/>
    </sheetView>
  </sheetViews>
  <sheetFormatPr baseColWidth="8" defaultRowHeight="15"/>
  <cols>
    <col width="81" customWidth="1" min="1" max="1"/>
    <col width="17" customWidth="1" min="2" max="2"/>
    <col width="14" customWidth="1" min="3" max="3"/>
    <col width="18" customWidth="1" min="4" max="4"/>
    <col width="23" customWidth="1" min="5" max="5"/>
    <col width="17" customWidth="1" min="6" max="6"/>
    <col width="21" customWidth="1" min="7" max="7"/>
    <col width="31" customWidth="1" min="8" max="8"/>
    <col width="41" customWidth="1" min="9" max="9"/>
    <col width="18" customWidth="1" min="10" max="10"/>
    <col width="33" customWidth="1" min="11" max="11"/>
  </cols>
  <sheetData>
    <row r="1"/>
    <row r="2">
      <c r="A2" s="1" t="inlineStr">
        <is>
          <t>SỔ NHẬT KÝ QUẢN LÝ ĐÀN HEO &amp; CON GIỐNG</t>
        </is>
      </c>
    </row>
    <row r="3">
      <c r="A3" s="2" t="inlineStr">
        <is>
          <t>(Biểu mẫu số hóa đồng bộ App Quản lý Trang trại VietGAP - Biểu mẫu 2.1 - 2.11)</t>
        </is>
      </c>
    </row>
    <row r="4"/>
    <row r="5"/>
    <row r="6"/>
    <row r="7"/>
    <row r="8">
      <c r="A8" s="7" t="inlineStr">
        <is>
          <t>STT</t>
        </is>
      </c>
      <c r="B8" s="7" t="inlineStr">
        <is>
          <t>Ngày Thực Hiện</t>
        </is>
      </c>
      <c r="C8" s="7" t="inlineStr">
        <is>
          <t>Mã Chuồng/Ô</t>
        </is>
      </c>
      <c r="D8" s="7" t="inlineStr">
        <is>
          <t>Thẻ Tai / Mã Lô</t>
        </is>
      </c>
      <c r="E8" s="7" t="inlineStr">
        <is>
          <t>Loại Lợn</t>
        </is>
      </c>
      <c r="F8" s="7" t="inlineStr">
        <is>
          <t>Số Lượng (con)</t>
        </is>
      </c>
      <c r="G8" s="7" t="inlineStr">
        <is>
          <t>Khối Lượng TB (kg)</t>
        </is>
      </c>
      <c r="H8" s="7" t="inlineStr">
        <is>
          <t>Hoạt Động / Biến Động</t>
        </is>
      </c>
      <c r="I8" s="7" t="inlineStr">
        <is>
          <t>Tình Trạng Sức Khỏe</t>
        </is>
      </c>
      <c r="J8" s="7" t="inlineStr">
        <is>
          <t>Người Thực Hiện</t>
        </is>
      </c>
      <c r="K8" s="7" t="inlineStr">
        <is>
          <t>Ghi Chú / Mã Truy Xuất</t>
        </is>
      </c>
    </row>
    <row r="9">
      <c r="A9" s="33" t="n">
        <v>1</v>
      </c>
      <c r="B9" s="33" t="inlineStr">
        <is>
          <t>2026-10-01</t>
        </is>
      </c>
      <c r="C9" s="33" t="inlineStr">
        <is>
          <t>K-CACHLY</t>
        </is>
      </c>
      <c r="D9" s="33" t="inlineStr">
        <is>
          <t>HB-2026-09</t>
        </is>
      </c>
      <c r="E9" s="33" t="inlineStr">
        <is>
          <t>Nái hậu bị</t>
        </is>
      </c>
      <c r="F9" s="34" t="n">
        <v>20</v>
      </c>
      <c r="G9" s="34" t="n">
        <v>115</v>
      </c>
      <c r="H9" s="33" t="inlineStr">
        <is>
          <t>Nhập cách ly kiểm dịch</t>
        </is>
      </c>
      <c r="I9" s="23" t="inlineStr">
        <is>
          <t>Khỏe mạnh, đã tiêm phòng</t>
        </is>
      </c>
      <c r="J9" s="33" t="inlineStr">
        <is>
          <t>Nguyễn Văn Hùng</t>
        </is>
      </c>
      <c r="K9" s="23" t="inlineStr">
        <is>
          <t>HĐ nhập giống C.P. số 102/2026</t>
        </is>
      </c>
    </row>
    <row r="10">
      <c r="A10" s="29" t="n">
        <v>2</v>
      </c>
      <c r="B10" s="29" t="inlineStr">
        <is>
          <t>2026-10-05</t>
        </is>
      </c>
      <c r="C10" s="29" t="inlineStr">
        <is>
          <t>C-PHOI-01</t>
        </is>
      </c>
      <c r="D10" s="29" t="inlineStr">
        <is>
          <t>NAI-102</t>
        </is>
      </c>
      <c r="E10" s="29" t="inlineStr">
        <is>
          <t>Nái sinh sản</t>
        </is>
      </c>
      <c r="F10" s="34" t="n">
        <v>1</v>
      </c>
      <c r="G10" s="34" t="n">
        <v>185</v>
      </c>
      <c r="H10" s="29" t="inlineStr">
        <is>
          <t>Phối giống lần 2</t>
        </is>
      </c>
      <c r="I10" s="27" t="inlineStr">
        <is>
          <t>Động dục rõ, niêm mạc hồng</t>
        </is>
      </c>
      <c r="J10" s="29" t="inlineStr">
        <is>
          <t>Trần Đình Trọng</t>
        </is>
      </c>
      <c r="K10" s="27" t="inlineStr">
        <is>
          <t>Tinh Duroc mã C.P.-DR88</t>
        </is>
      </c>
    </row>
    <row r="11">
      <c r="A11" s="33" t="n">
        <v>3</v>
      </c>
      <c r="B11" s="33" t="inlineStr">
        <is>
          <t>2026-10-10</t>
        </is>
      </c>
      <c r="C11" s="33" t="inlineStr">
        <is>
          <t>C-DE-02</t>
        </is>
      </c>
      <c r="D11" s="33" t="inlineStr">
        <is>
          <t>NAI-88</t>
        </is>
      </c>
      <c r="E11" s="33" t="inlineStr">
        <is>
          <t>Nái đẻ nuôi con</t>
        </is>
      </c>
      <c r="F11" s="34" t="n">
        <v>1</v>
      </c>
      <c r="G11" s="34" t="n">
        <v>210</v>
      </c>
      <c r="H11" s="33" t="inlineStr">
        <is>
          <t>Nái đẻ (Lứa 3)</t>
        </is>
      </c>
      <c r="I11" s="23" t="inlineStr">
        <is>
          <t>Tốt, đẻ 14 con sống</t>
        </is>
      </c>
      <c r="J11" s="33" t="inlineStr">
        <is>
          <t>Lê Thị Mai</t>
        </is>
      </c>
      <c r="K11" s="23" t="inlineStr">
        <is>
          <t>14 con sống, KLTB 1.4kg/con</t>
        </is>
      </c>
    </row>
    <row r="12">
      <c r="A12" s="29" t="n">
        <v>4</v>
      </c>
      <c r="B12" s="29" t="inlineStr">
        <is>
          <t>2026-10-12</t>
        </is>
      </c>
      <c r="C12" s="29" t="inlineStr">
        <is>
          <t>C-DE-02</t>
        </is>
      </c>
      <c r="D12" s="29" t="inlineStr">
        <is>
          <t>LO-HEOCON-88</t>
        </is>
      </c>
      <c r="E12" s="29" t="inlineStr">
        <is>
          <t>Heo con theo mẹ</t>
        </is>
      </c>
      <c r="F12" s="34" t="n">
        <v>14</v>
      </c>
      <c r="G12" s="34" t="n">
        <v>1.4</v>
      </c>
      <c r="H12" s="29" t="inlineStr">
        <is>
          <t>Bấm vành tai &amp; Tiêm Sắt</t>
        </is>
      </c>
      <c r="I12" s="27" t="inlineStr">
        <is>
          <t>Khỏe mạnh, phản xạ nhanh</t>
        </is>
      </c>
      <c r="J12" s="29" t="inlineStr">
        <is>
          <t>Lê Thị Mai</t>
        </is>
      </c>
      <c r="K12" s="27" t="inlineStr">
        <is>
          <t>Tiêm Sắt Dextran 2ml/con</t>
        </is>
      </c>
    </row>
    <row r="13">
      <c r="A13" s="33" t="n">
        <v>5</v>
      </c>
      <c r="B13" s="33" t="inlineStr">
        <is>
          <t>2026-10-15</t>
        </is>
      </c>
      <c r="C13" s="33" t="inlineStr">
        <is>
          <t>C-THIT-03</t>
        </is>
      </c>
      <c r="D13" s="33" t="inlineStr">
        <is>
          <t>LO-THIT-10</t>
        </is>
      </c>
      <c r="E13" s="33" t="inlineStr">
        <is>
          <t>Heo thịt giai đoạn 1</t>
        </is>
      </c>
      <c r="F13" s="34" t="n">
        <v>50</v>
      </c>
      <c r="G13" s="34" t="n">
        <v>25.5</v>
      </c>
      <c r="H13" s="33" t="inlineStr">
        <is>
          <t>Chuyển chuồng vỗ béo</t>
        </is>
      </c>
      <c r="I13" s="23" t="inlineStr">
        <is>
          <t>Đồng đều, ăn khỏe</t>
        </is>
      </c>
      <c r="J13" s="33" t="inlineStr">
        <is>
          <t>Phạm Quốc Cường</t>
        </is>
      </c>
      <c r="K13" s="23" t="inlineStr">
        <is>
          <t>Chuyển từ khu cai sữa sang</t>
        </is>
      </c>
    </row>
    <row r="14">
      <c r="A14" s="29" t="n">
        <v>6</v>
      </c>
      <c r="B14" s="29" t="inlineStr">
        <is>
          <t>2026-10-18</t>
        </is>
      </c>
      <c r="C14" s="29" t="inlineStr">
        <is>
          <t>C-THIT-04</t>
        </is>
      </c>
      <c r="D14" s="29" t="inlineStr">
        <is>
          <t>LO-THIT-08</t>
        </is>
      </c>
      <c r="E14" s="29" t="inlineStr">
        <is>
          <t>Heo thịt giai đoạn 2</t>
        </is>
      </c>
      <c r="F14" s="34" t="n">
        <v>48</v>
      </c>
      <c r="G14" s="34" t="n">
        <v>85</v>
      </c>
      <c r="H14" s="29" t="inlineStr">
        <is>
          <t>Cân khối lượng định kỳ</t>
        </is>
      </c>
      <c r="I14" s="27" t="inlineStr">
        <is>
          <t>Tốt, tăng trọng 820g/ngày</t>
        </is>
      </c>
      <c r="J14" s="29" t="inlineStr">
        <is>
          <t>Phạm Quốc Cường</t>
        </is>
      </c>
      <c r="K14" s="27" t="inlineStr">
        <is>
          <t>Chuẩn bị xuất bán sau 15 ngày</t>
        </is>
      </c>
    </row>
    <row r="15">
      <c r="A15" s="33" t="n">
        <v>7</v>
      </c>
      <c r="B15" s="33" t="inlineStr">
        <is>
          <t>2026-10-20</t>
        </is>
      </c>
      <c r="C15" s="33" t="inlineStr">
        <is>
          <t>C-THIT-01</t>
        </is>
      </c>
      <c r="D15" s="33" t="inlineStr">
        <is>
          <t>LO-THIT-05</t>
        </is>
      </c>
      <c r="E15" s="33" t="inlineStr">
        <is>
          <t>Heo thịt xuất bán</t>
        </is>
      </c>
      <c r="F15" s="34" t="n">
        <v>50</v>
      </c>
      <c r="G15" s="34" t="n">
        <v>102.5</v>
      </c>
      <c r="H15" s="33" t="inlineStr">
        <is>
          <t>Xuất bán thương phẩm</t>
        </is>
      </c>
      <c r="I15" s="23" t="inlineStr">
        <is>
          <t>Đạt chuẩn VietGAP, ngưng thuốc 21 ngày</t>
        </is>
      </c>
      <c r="J15" s="33" t="inlineStr">
        <is>
          <t>Nguyễn Văn Hùng</t>
        </is>
      </c>
      <c r="K15" s="23" t="inlineStr">
        <is>
          <t>Phiếu xuất kho số XK-2026-10</t>
        </is>
      </c>
    </row>
    <row r="16">
      <c r="A16" s="29" t="n">
        <v>8</v>
      </c>
      <c r="B16" s="29" t="inlineStr">
        <is>
          <t>2026-10-22</t>
        </is>
      </c>
      <c r="C16" s="29" t="inlineStr">
        <is>
          <t>K-CACHLY</t>
        </is>
      </c>
      <c r="D16" s="29" t="inlineStr">
        <is>
          <t>HB-2026-09</t>
        </is>
      </c>
      <c r="E16" s="29" t="inlineStr">
        <is>
          <t>Nái hậu bị</t>
        </is>
      </c>
      <c r="F16" s="34" t="n">
        <v>20</v>
      </c>
      <c r="G16" s="34" t="n">
        <v>122</v>
      </c>
      <c r="H16" s="29" t="inlineStr">
        <is>
          <t>Hoàn thành cách ly (21 ngày)</t>
        </is>
      </c>
      <c r="I16" s="27" t="inlineStr">
        <is>
          <t>Khỏe mạnh, xét nghiệm âm tính</t>
        </is>
      </c>
      <c r="J16" s="29" t="inlineStr">
        <is>
          <t>Trần Đình Trọng</t>
        </is>
      </c>
      <c r="K16" s="27" t="inlineStr">
        <is>
          <t>Nhập đàn nái phối C-PHOI-02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1" workbookViewId="0">
      <selection activeCell="A1" sqref="A1"/>
    </sheetView>
  </sheetViews>
  <sheetFormatPr baseColWidth="8" defaultRowHeight="15"/>
  <cols>
    <col width="82" customWidth="1" min="1" max="1"/>
    <col width="17" customWidth="1" min="2" max="2"/>
    <col width="18" customWidth="1" min="3" max="3"/>
    <col width="29" customWidth="1" min="4" max="4"/>
    <col width="31" customWidth="1" min="5" max="5"/>
    <col width="31" customWidth="1" min="6" max="6"/>
    <col width="16" customWidth="1" min="7" max="7"/>
    <col width="28" customWidth="1" min="8" max="8"/>
    <col width="34" customWidth="1" min="9" max="9"/>
    <col width="18" customWidth="1" min="10" max="10"/>
    <col width="34" customWidth="1" min="11" max="11"/>
  </cols>
  <sheetData>
    <row r="1"/>
    <row r="2">
      <c r="A2" s="1" t="inlineStr">
        <is>
          <t>SỔ NHẬT KÝ QUẢN LÝ THỨC ĂN CHĂN NUÔI &amp; NƯỚC UỐNG</t>
        </is>
      </c>
    </row>
    <row r="3">
      <c r="A3" s="2" t="inlineStr">
        <is>
          <t>(Biểu mẫu số hóa đồng bộ App Quản lý Trang trại VietGAP - Biểu mẫu 2.12 - 2.14)</t>
        </is>
      </c>
    </row>
    <row r="4"/>
    <row r="5"/>
    <row r="6"/>
    <row r="7"/>
    <row r="8">
      <c r="A8" s="7" t="inlineStr">
        <is>
          <t>STT</t>
        </is>
      </c>
      <c r="B8" s="7" t="inlineStr">
        <is>
          <t>Ngày Thực Hiện</t>
        </is>
      </c>
      <c r="C8" s="7" t="inlineStr">
        <is>
          <t>Loại Hoạt Động</t>
        </is>
      </c>
      <c r="D8" s="7" t="inlineStr">
        <is>
          <t>Tên Thức Ăn / Nguyên Liệu</t>
        </is>
      </c>
      <c r="E8" s="7" t="inlineStr">
        <is>
          <t>Mã Lô / Hạn Sử Dụng</t>
        </is>
      </c>
      <c r="F8" s="7" t="inlineStr">
        <is>
          <t>Nhà Cung Cấp / Nguồn Gốc</t>
        </is>
      </c>
      <c r="G8" s="7" t="inlineStr">
        <is>
          <t>Số Lượng (kg)</t>
        </is>
      </c>
      <c r="H8" s="7" t="inlineStr">
        <is>
          <t>Chuồng / Lứa Sử Dụng</t>
        </is>
      </c>
      <c r="I8" s="7" t="inlineStr">
        <is>
          <t>Tình Trạng Cảm Quan</t>
        </is>
      </c>
      <c r="J8" s="7" t="inlineStr">
        <is>
          <t>Người Ghi Chép</t>
        </is>
      </c>
      <c r="K8" s="7" t="inlineStr">
        <is>
          <t>Ghi Chú / Mã Chứng Nhận</t>
        </is>
      </c>
    </row>
    <row r="9">
      <c r="A9" s="33" t="n">
        <v>1</v>
      </c>
      <c r="B9" s="33" t="inlineStr">
        <is>
          <t>2026-10-02</t>
        </is>
      </c>
      <c r="C9" s="33" t="inlineStr">
        <is>
          <t>Nhập kho cám</t>
        </is>
      </c>
      <c r="D9" s="23" t="inlineStr">
        <is>
          <t>Cám Hỗn Hợp C.P. 551</t>
        </is>
      </c>
      <c r="E9" s="33" t="inlineStr">
        <is>
          <t>LO-CP551-1002 / HSD: 90 ngày</t>
        </is>
      </c>
      <c r="F9" s="23" t="inlineStr">
        <is>
          <t>C.P. Việt Nam - NM Phú Nghĩa</t>
        </is>
      </c>
      <c r="G9" s="35" t="n">
        <v>5000</v>
      </c>
      <c r="H9" s="23" t="inlineStr">
        <is>
          <t>Kho cám trung tâm</t>
        </is>
      </c>
      <c r="I9" s="23" t="inlineStr">
        <is>
          <t>Bao nguyên phong, khô ráo, thơm</t>
        </is>
      </c>
      <c r="J9" s="33" t="inlineStr">
        <is>
          <t>Đỗ Văn Giang</t>
        </is>
      </c>
      <c r="K9" s="23" t="inlineStr">
        <is>
          <t>Hóa đơn HĐ-88219</t>
        </is>
      </c>
    </row>
    <row r="10">
      <c r="A10" s="29" t="n">
        <v>2</v>
      </c>
      <c r="B10" s="29" t="inlineStr">
        <is>
          <t>2026-10-03</t>
        </is>
      </c>
      <c r="C10" s="29" t="inlineStr">
        <is>
          <t>Nhập kho cám</t>
        </is>
      </c>
      <c r="D10" s="27" t="inlineStr">
        <is>
          <t>Cám Nái Nuôi Con C.P. 552</t>
        </is>
      </c>
      <c r="E10" s="29" t="inlineStr">
        <is>
          <t>LO-CP552-0928 / HSD: 90 ngày</t>
        </is>
      </c>
      <c r="F10" s="27" t="inlineStr">
        <is>
          <t>C.P. Việt Nam - NM Phú Nghĩa</t>
        </is>
      </c>
      <c r="G10" s="35" t="n">
        <v>2000</v>
      </c>
      <c r="H10" s="27" t="inlineStr">
        <is>
          <t>Kho cám trung tâm</t>
        </is>
      </c>
      <c r="I10" s="27" t="inlineStr">
        <is>
          <t>Đạt chuẩn, không mốc</t>
        </is>
      </c>
      <c r="J10" s="29" t="inlineStr">
        <is>
          <t>Đỗ Văn Giang</t>
        </is>
      </c>
      <c r="K10" s="27" t="inlineStr">
        <is>
          <t>Hóa đơn HĐ-88220</t>
        </is>
      </c>
    </row>
    <row r="11">
      <c r="A11" s="33" t="n">
        <v>3</v>
      </c>
      <c r="B11" s="33" t="inlineStr">
        <is>
          <t>2026-10-05</t>
        </is>
      </c>
      <c r="C11" s="33" t="inlineStr">
        <is>
          <t>Xuất cám cho ăn</t>
        </is>
      </c>
      <c r="D11" s="23" t="inlineStr">
        <is>
          <t>Cám Hỗn Hợp C.P. 551</t>
        </is>
      </c>
      <c r="E11" s="33" t="inlineStr">
        <is>
          <t>LO-CP551-1002</t>
        </is>
      </c>
      <c r="F11" s="23" t="inlineStr">
        <is>
          <t>Kho cám trung tâm</t>
        </is>
      </c>
      <c r="G11" s="35" t="n">
        <v>350</v>
      </c>
      <c r="H11" s="23" t="inlineStr">
        <is>
          <t>C-THIT-01 &amp; C-THIT-02</t>
        </is>
      </c>
      <c r="I11" s="23" t="inlineStr">
        <is>
          <t>Thức ăn thơm ngon, cám viên</t>
        </is>
      </c>
      <c r="J11" s="33" t="inlineStr">
        <is>
          <t>Phạm Quốc Cường</t>
        </is>
      </c>
      <c r="K11" s="23" t="inlineStr">
        <is>
          <t>Khẩu phần 2.2 kg/con/ngày</t>
        </is>
      </c>
    </row>
    <row r="12">
      <c r="A12" s="29" t="n">
        <v>4</v>
      </c>
      <c r="B12" s="29" t="inlineStr">
        <is>
          <t>2026-10-08</t>
        </is>
      </c>
      <c r="C12" s="29" t="inlineStr">
        <is>
          <t>Xuất cám cho ăn</t>
        </is>
      </c>
      <c r="D12" s="27" t="inlineStr">
        <is>
          <t>Cám Nái Nuôi Con C.P. 552</t>
        </is>
      </c>
      <c r="E12" s="29" t="inlineStr">
        <is>
          <t>LO-CP552-0928</t>
        </is>
      </c>
      <c r="F12" s="27" t="inlineStr">
        <is>
          <t>Kho cám trung tâm</t>
        </is>
      </c>
      <c r="G12" s="35" t="n">
        <v>120</v>
      </c>
      <c r="H12" s="27" t="inlineStr">
        <is>
          <t>C-DE-01 (12 nái nuôi con)</t>
        </is>
      </c>
      <c r="I12" s="27" t="inlineStr">
        <is>
          <t>Màu vàng tươi, không vón cục</t>
        </is>
      </c>
      <c r="J12" s="29" t="inlineStr">
        <is>
          <t>Lê Thị Mai</t>
        </is>
      </c>
      <c r="K12" s="27" t="inlineStr">
        <is>
          <t>Cho ăn tự do theo nhu cầu</t>
        </is>
      </c>
    </row>
    <row r="13">
      <c r="A13" s="33" t="n">
        <v>5</v>
      </c>
      <c r="B13" s="33" t="inlineStr">
        <is>
          <t>2026-10-10</t>
        </is>
      </c>
      <c r="C13" s="33" t="inlineStr">
        <is>
          <t>Kiểm tra nước</t>
        </is>
      </c>
      <c r="D13" s="23" t="inlineStr">
        <is>
          <t>Nước uống chăn nuôi</t>
        </is>
      </c>
      <c r="E13" s="33" t="inlineStr">
        <is>
          <t>Định kỳ tháng 10</t>
        </is>
      </c>
      <c r="F13" s="23" t="inlineStr">
        <is>
          <t>Hệ thống lọc RO trang trại</t>
        </is>
      </c>
      <c r="G13" s="35" t="n">
        <v>15</v>
      </c>
      <c r="H13" s="23" t="inlineStr">
        <is>
          <t>Toàn bộ các dãy chuồng</t>
        </is>
      </c>
      <c r="I13" s="23" t="inlineStr">
        <is>
          <t>Nước trong, không mùi, pH 6.8</t>
        </is>
      </c>
      <c r="J13" s="33" t="inlineStr">
        <is>
          <t>Nguyễn Văn Hùng</t>
        </is>
      </c>
      <c r="K13" s="23" t="inlineStr">
        <is>
          <t>Phiếu test vi sinh E.coli = 0</t>
        </is>
      </c>
    </row>
    <row r="14">
      <c r="A14" s="29" t="n">
        <v>6</v>
      </c>
      <c r="B14" s="29" t="inlineStr">
        <is>
          <t>2026-10-15</t>
        </is>
      </c>
      <c r="C14" s="29" t="inlineStr">
        <is>
          <t>Tự phối trộn</t>
        </is>
      </c>
      <c r="D14" s="27" t="inlineStr">
        <is>
          <t>Khẩu phần trộn Bổ sung Men</t>
        </is>
      </c>
      <c r="E14" s="29" t="inlineStr">
        <is>
          <t>LO-MIX-1015</t>
        </is>
      </c>
      <c r="F14" s="27" t="inlineStr">
        <is>
          <t>Tự trộn tại trại</t>
        </is>
      </c>
      <c r="G14" s="35" t="n">
        <v>500</v>
      </c>
      <c r="H14" s="27" t="inlineStr">
        <is>
          <t>C-THIT-03 (Heo cai sữa)</t>
        </is>
      </c>
      <c r="I14" s="27" t="inlineStr">
        <is>
          <t>Trộn đều men vi sinh Probiotic</t>
        </is>
      </c>
      <c r="J14" s="29" t="inlineStr">
        <is>
          <t>Đỗ Văn Giang</t>
        </is>
      </c>
      <c r="K14" s="27" t="inlineStr">
        <is>
          <t>Hỗ trợ tiêu hóa, giảm tiêu chảy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1" workbookViewId="0">
      <selection activeCell="A1" sqref="A1"/>
    </sheetView>
  </sheetViews>
  <sheetFormatPr baseColWidth="8" defaultRowHeight="15"/>
  <cols>
    <col width="82" customWidth="1" min="1" max="1"/>
    <col width="17" customWidth="1" min="2" max="2"/>
    <col width="20" customWidth="1" min="3" max="3"/>
    <col width="36" customWidth="1" min="4" max="4"/>
    <col width="26" customWidth="1" min="5" max="5"/>
    <col width="33" customWidth="1" min="6" max="6"/>
    <col width="38" customWidth="1" min="7" max="7"/>
    <col width="24" customWidth="1" min="8" max="8"/>
    <col width="16" customWidth="1" min="9" max="9"/>
    <col width="18" customWidth="1" min="10" max="10"/>
    <col width="41" customWidth="1" min="11" max="11"/>
  </cols>
  <sheetData>
    <row r="1"/>
    <row r="2">
      <c r="A2" s="1" t="inlineStr">
        <is>
          <t>SỔ NHẬT KÝ THEO DÕI THÚ Y, VẮC XIN &amp; ĐIỀU TRỊ BỆNH</t>
        </is>
      </c>
    </row>
    <row r="3">
      <c r="A3" s="2" t="inlineStr">
        <is>
          <t>(Biểu mẫu số hóa đồng bộ App Quản lý Trang trại VietGAP - Biểu mẫu 3.22 - 3.26)</t>
        </is>
      </c>
    </row>
    <row r="4"/>
    <row r="5"/>
    <row r="6"/>
    <row r="7"/>
    <row r="8">
      <c r="A8" s="7" t="inlineStr">
        <is>
          <t>STT</t>
        </is>
      </c>
      <c r="B8" s="7" t="inlineStr">
        <is>
          <t>Ngày Thực Hiện</t>
        </is>
      </c>
      <c r="C8" s="7" t="inlineStr">
        <is>
          <t>Mã Lợn / Ô Chuồng</t>
        </is>
      </c>
      <c r="D8" s="7" t="inlineStr">
        <is>
          <t>Loại Vắc xin / Thuốc Thú Y</t>
        </is>
      </c>
      <c r="E8" s="7" t="inlineStr">
        <is>
          <t>Nhà Sản Xuất / Số Lô</t>
        </is>
      </c>
      <c r="F8" s="7" t="inlineStr">
        <is>
          <t>Liều Lượng &amp; Cách Dùng</t>
        </is>
      </c>
      <c r="G8" s="7" t="inlineStr">
        <is>
          <t>Mục Đích / Triệu Chứng</t>
        </is>
      </c>
      <c r="H8" s="7" t="inlineStr">
        <is>
          <t>TG Ngừng Thuốc (Ngày)</t>
        </is>
      </c>
      <c r="I8" s="7" t="inlineStr">
        <is>
          <t>Sự Cố Kim Gãy</t>
        </is>
      </c>
      <c r="J8" s="7" t="inlineStr">
        <is>
          <t>Người Thực Hiện</t>
        </is>
      </c>
      <c r="K8" s="7" t="inlineStr">
        <is>
          <t>Ghi Chú / Kết Quả</t>
        </is>
      </c>
    </row>
    <row r="9">
      <c r="A9" s="33" t="n">
        <v>1</v>
      </c>
      <c r="B9" s="33" t="inlineStr">
        <is>
          <t>2026-10-02</t>
        </is>
      </c>
      <c r="C9" s="33" t="inlineStr">
        <is>
          <t>LO-HEOCON-88</t>
        </is>
      </c>
      <c r="D9" s="23" t="inlineStr">
        <is>
          <t>Vắc xin Lở mồm long móng (FMD)</t>
        </is>
      </c>
      <c r="E9" s="23" t="inlineStr">
        <is>
          <t>Boehringer / Lô FMD-882</t>
        </is>
      </c>
      <c r="F9" s="23" t="inlineStr">
        <is>
          <t>1 ml/con, tiêm bắp cổ</t>
        </is>
      </c>
      <c r="G9" s="23" t="inlineStr">
        <is>
          <t>Tiêm phòng định kỳ 3 tuần tuổi</t>
        </is>
      </c>
      <c r="H9" s="33" t="n">
        <v>0</v>
      </c>
      <c r="I9" s="33" t="inlineStr">
        <is>
          <t>Không</t>
        </is>
      </c>
      <c r="J9" s="33" t="inlineStr">
        <is>
          <t>Trần Đình Trọng</t>
        </is>
      </c>
      <c r="K9" s="23" t="inlineStr">
        <is>
          <t>100% heo con đáp ứng tốt</t>
        </is>
      </c>
    </row>
    <row r="10">
      <c r="A10" s="29" t="n">
        <v>2</v>
      </c>
      <c r="B10" s="29" t="inlineStr">
        <is>
          <t>2026-10-05</t>
        </is>
      </c>
      <c r="C10" s="29" t="inlineStr">
        <is>
          <t>HB-2026-09</t>
        </is>
      </c>
      <c r="D10" s="27" t="inlineStr">
        <is>
          <t>Vắc xin Dịch tả lợn cổ điển (CSF)</t>
        </is>
      </c>
      <c r="E10" s="27" t="inlineStr">
        <is>
          <t>NAVETCO / Lô CSF-102</t>
        </is>
      </c>
      <c r="F10" s="27" t="inlineStr">
        <is>
          <t>2 ml/con, tiêm bắp</t>
        </is>
      </c>
      <c r="G10" s="27" t="inlineStr">
        <is>
          <t>Tiêm phòng nái hậu bị thích nghi</t>
        </is>
      </c>
      <c r="H10" s="29" t="n">
        <v>0</v>
      </c>
      <c r="I10" s="29" t="inlineStr">
        <is>
          <t>Không</t>
        </is>
      </c>
      <c r="J10" s="29" t="inlineStr">
        <is>
          <t>Trần Đình Trọng</t>
        </is>
      </c>
      <c r="K10" s="27" t="inlineStr">
        <is>
          <t>An toàn, không bỏ ăn</t>
        </is>
      </c>
    </row>
    <row r="11">
      <c r="A11" s="33" t="n">
        <v>3</v>
      </c>
      <c r="B11" s="33" t="inlineStr">
        <is>
          <t>2026-10-08</t>
        </is>
      </c>
      <c r="C11" s="33" t="inlineStr">
        <is>
          <t>C-THIT-02 (Ô 3)</t>
        </is>
      </c>
      <c r="D11" s="23" t="inlineStr">
        <is>
          <t>Amoxicillin 10% + Colistin</t>
        </is>
      </c>
      <c r="E11" s="23" t="inlineStr">
        <is>
          <t>Hanvet / Lô AMX-551</t>
        </is>
      </c>
      <c r="F11" s="23" t="inlineStr">
        <is>
          <t>1g/10kg P, trộn thức ăn 3 ngày</t>
        </is>
      </c>
      <c r="G11" s="23" t="inlineStr">
        <is>
          <t>Điều trị phân trắng heo sau cai sữa</t>
        </is>
      </c>
      <c r="H11" s="33" t="n">
        <v>14</v>
      </c>
      <c r="I11" s="33" t="inlineStr">
        <is>
          <t>Không</t>
        </is>
      </c>
      <c r="J11" s="33" t="inlineStr">
        <is>
          <t>Trần Đình Trọng</t>
        </is>
      </c>
      <c r="K11" s="23" t="inlineStr">
        <is>
          <t>Khỏi bệnh sau 3 ngày, ăn khỏe</t>
        </is>
      </c>
    </row>
    <row r="12">
      <c r="A12" s="29" t="n">
        <v>4</v>
      </c>
      <c r="B12" s="29" t="inlineStr">
        <is>
          <t>2026-10-12</t>
        </is>
      </c>
      <c r="C12" s="29" t="inlineStr">
        <is>
          <t>NAI-45</t>
        </is>
      </c>
      <c r="D12" s="27" t="inlineStr">
        <is>
          <t>Oxytetracycline LA</t>
        </is>
      </c>
      <c r="E12" s="27" t="inlineStr">
        <is>
          <t>Virbac / Lô OXY-901</t>
        </is>
      </c>
      <c r="F12" s="27" t="inlineStr">
        <is>
          <t>1ml/10kg P, tiêm sâu bắp thịt</t>
        </is>
      </c>
      <c r="G12" s="27" t="inlineStr">
        <is>
          <t>Điều trị viêm vú sau đẻ</t>
        </is>
      </c>
      <c r="H12" s="29" t="n">
        <v>21</v>
      </c>
      <c r="I12" s="29" t="inlineStr">
        <is>
          <t>Không</t>
        </is>
      </c>
      <c r="J12" s="29" t="inlineStr">
        <is>
          <t>Trần Đình Trọng</t>
        </is>
      </c>
      <c r="K12" s="27" t="inlineStr">
        <is>
          <t>Giảm sưng sốt, sữa bình thường</t>
        </is>
      </c>
    </row>
    <row r="13">
      <c r="A13" s="33" t="n">
        <v>5</v>
      </c>
      <c r="B13" s="33" t="inlineStr">
        <is>
          <t>2026-10-15</t>
        </is>
      </c>
      <c r="C13" s="33" t="inlineStr">
        <is>
          <t>C-THIT-04 (Ô 1)</t>
        </is>
      </c>
      <c r="D13" s="23" t="inlineStr">
        <is>
          <t>Tylosin 200</t>
        </is>
      </c>
      <c r="E13" s="23" t="inlineStr">
        <is>
          <t>Pharmalett / Lô TYL-302</t>
        </is>
      </c>
      <c r="F13" s="23" t="inlineStr">
        <is>
          <t>1ml/15kg P, tiêm bắp cổ</t>
        </is>
      </c>
      <c r="G13" s="23" t="inlineStr">
        <is>
          <t>Điều trị ho viêm phổi</t>
        </is>
      </c>
      <c r="H13" s="33" t="n">
        <v>14</v>
      </c>
      <c r="I13" s="33" t="inlineStr">
        <is>
          <t>Có (Đã xử lý)</t>
        </is>
      </c>
      <c r="J13" s="33" t="inlineStr">
        <is>
          <t>Nguyễn Văn Hùng</t>
        </is>
      </c>
      <c r="K13" s="23" t="inlineStr">
        <is>
          <t>Rút kim bị gãy, đánh dấu tai vĩnh viễn</t>
        </is>
      </c>
    </row>
    <row r="14">
      <c r="A14" s="29" t="n">
        <v>6</v>
      </c>
      <c r="B14" s="29" t="inlineStr">
        <is>
          <t>2026-10-18</t>
        </is>
      </c>
      <c r="C14" s="29" t="inlineStr">
        <is>
          <t>LO-THIT-10</t>
        </is>
      </c>
      <c r="D14" s="27" t="inlineStr">
        <is>
          <t>Thuốc tẩy giun Ivermectin 1%</t>
        </is>
      </c>
      <c r="E14" s="27" t="inlineStr">
        <is>
          <t>Anova / Lô IVE-101</t>
        </is>
      </c>
      <c r="F14" s="27" t="inlineStr">
        <is>
          <t>1ml/30kg P, tiêm dưới da</t>
        </is>
      </c>
      <c r="G14" s="27" t="inlineStr">
        <is>
          <t>Tẩy giun sán trước vỗ béo</t>
        </is>
      </c>
      <c r="H14" s="29" t="n">
        <v>28</v>
      </c>
      <c r="I14" s="29" t="inlineStr">
        <is>
          <t>Không</t>
        </is>
      </c>
      <c r="J14" s="29" t="inlineStr">
        <is>
          <t>Trần Đình Trọng</t>
        </is>
      </c>
      <c r="K14" s="27" t="inlineStr">
        <is>
          <t>Đã hoàn thành 100% đàn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1" workbookViewId="0">
      <selection activeCell="A1" sqref="A1"/>
    </sheetView>
  </sheetViews>
  <sheetFormatPr baseColWidth="8" defaultRowHeight="15"/>
  <cols>
    <col width="82" customWidth="1" min="1" max="1"/>
    <col width="17" customWidth="1" min="2" max="2"/>
    <col width="30" customWidth="1" min="3" max="3"/>
    <col width="34" customWidth="1" min="4" max="4"/>
    <col width="36" customWidth="1" min="5" max="5"/>
    <col width="23" customWidth="1" min="6" max="6"/>
    <col width="27" customWidth="1" min="7" max="7"/>
    <col width="19" customWidth="1" min="8" max="8"/>
    <col width="18" customWidth="1" min="9" max="9"/>
    <col width="18" customWidth="1" min="10" max="10"/>
    <col width="52" customWidth="1" min="11" max="11"/>
  </cols>
  <sheetData>
    <row r="1"/>
    <row r="2">
      <c r="A2" s="1" t="inlineStr">
        <is>
          <t>SỔ NHẬT KÝ VỆ SINH, SÁT TRÙNG &amp; QUẢN LÝ MÔI TRƯỜNG</t>
        </is>
      </c>
    </row>
    <row r="3">
      <c r="A3" s="2" t="inlineStr">
        <is>
          <t>(Biểu mẫu số hóa đồng bộ App Quản lý Trang trại VietGAP - Biểu mẫu 3.16 - 3.21)</t>
        </is>
      </c>
    </row>
    <row r="4"/>
    <row r="5"/>
    <row r="6"/>
    <row r="7"/>
    <row r="8">
      <c r="A8" s="7" t="inlineStr">
        <is>
          <t>STT</t>
        </is>
      </c>
      <c r="B8" s="7" t="inlineStr">
        <is>
          <t>Ngày Thực Hiện</t>
        </is>
      </c>
      <c r="C8" s="7" t="inlineStr">
        <is>
          <t>Khu Vực / Dãy Chuồng</t>
        </is>
      </c>
      <c r="D8" s="7" t="inlineStr">
        <is>
          <t>Hạng Mục Công Việc</t>
        </is>
      </c>
      <c r="E8" s="7" t="inlineStr">
        <is>
          <t>Tên Hóa Chất / Chế Phẩm</t>
        </is>
      </c>
      <c r="F8" s="7" t="inlineStr">
        <is>
          <t>Nồng Độ / Liều Lượng</t>
        </is>
      </c>
      <c r="G8" s="7" t="inlineStr">
        <is>
          <t>Số Lượng Chất Thải Xử Lý</t>
        </is>
      </c>
      <c r="H8" s="7" t="inlineStr">
        <is>
          <t>Kết Quả Kiểm Tra</t>
        </is>
      </c>
      <c r="I8" s="7" t="inlineStr">
        <is>
          <t>Người Thực Hiện</t>
        </is>
      </c>
      <c r="J8" s="7" t="inlineStr">
        <is>
          <t>Người Kiểm Tra</t>
        </is>
      </c>
      <c r="K8" s="7" t="inlineStr">
        <is>
          <t>Ghi Chú</t>
        </is>
      </c>
    </row>
    <row r="9">
      <c r="A9" s="33" t="n">
        <v>1</v>
      </c>
      <c r="B9" s="33" t="inlineStr">
        <is>
          <t>2026-10-01</t>
        </is>
      </c>
      <c r="C9" s="33" t="inlineStr">
        <is>
          <t>Cổng chính &amp; Hố sát trùng</t>
        </is>
      </c>
      <c r="D9" s="23" t="inlineStr">
        <is>
          <t>Thay thuốc hố sát trùng xe</t>
        </is>
      </c>
      <c r="E9" s="23" t="inlineStr">
        <is>
          <t>BENKOCID</t>
        </is>
      </c>
      <c r="F9" s="23" t="inlineStr">
        <is>
          <t>Pha tỷ lệ 1:200</t>
        </is>
      </c>
      <c r="G9" s="23" t="inlineStr">
        <is>
          <t>-</t>
        </is>
      </c>
      <c r="H9" s="33" t="inlineStr">
        <is>
          <t>Đạt chuẩn</t>
        </is>
      </c>
      <c r="I9" s="33" t="inlineStr">
        <is>
          <t>Phạm Quốc Cường</t>
        </is>
      </c>
      <c r="J9" s="33" t="inlineStr">
        <is>
          <t>Nguyễn Văn Hùng</t>
        </is>
      </c>
      <c r="K9" s="23" t="inlineStr">
        <is>
          <t>Thay mới 100% dung dịch sát trùng</t>
        </is>
      </c>
    </row>
    <row r="10">
      <c r="A10" s="29" t="n">
        <v>2</v>
      </c>
      <c r="B10" s="29" t="inlineStr">
        <is>
          <t>2026-10-04</t>
        </is>
      </c>
      <c r="C10" s="29" t="inlineStr">
        <is>
          <t>Toàn bộ Dãy Chuồng Thịt</t>
        </is>
      </c>
      <c r="D10" s="27" t="inlineStr">
        <is>
          <t>Phun sát trùng trong chuồng</t>
        </is>
      </c>
      <c r="E10" s="27" t="inlineStr">
        <is>
          <t>Iodine 10%</t>
        </is>
      </c>
      <c r="F10" s="27" t="inlineStr">
        <is>
          <t>Pha tỷ lệ 1:250</t>
        </is>
      </c>
      <c r="G10" s="27" t="inlineStr">
        <is>
          <t>-</t>
        </is>
      </c>
      <c r="H10" s="29" t="inlineStr">
        <is>
          <t>Sạch sẽ, thơm</t>
        </is>
      </c>
      <c r="I10" s="29" t="inlineStr">
        <is>
          <t>Phạm Quốc Cường</t>
        </is>
      </c>
      <c r="J10" s="29" t="inlineStr">
        <is>
          <t>Nguyễn Văn Hùng</t>
        </is>
      </c>
      <c r="K10" s="27" t="inlineStr">
        <is>
          <t>Phun định kỳ tuần 1 tháng 10</t>
        </is>
      </c>
    </row>
    <row r="11">
      <c r="A11" s="33" t="n">
        <v>3</v>
      </c>
      <c r="B11" s="33" t="inlineStr">
        <is>
          <t>2026-10-07</t>
        </is>
      </c>
      <c r="C11" s="33" t="inlineStr">
        <is>
          <t>Khuôn viên &amp; Đường nội bộ</t>
        </is>
      </c>
      <c r="D11" s="23" t="inlineStr">
        <is>
          <t>Phun sát trùng ngoài chuồng</t>
        </is>
      </c>
      <c r="E11" s="23" t="inlineStr">
        <is>
          <t>Virkon S</t>
        </is>
      </c>
      <c r="F11" s="23" t="inlineStr">
        <is>
          <t>Pha tỷ lệ 1:200</t>
        </is>
      </c>
      <c r="G11" s="23" t="inlineStr">
        <is>
          <t>-</t>
        </is>
      </c>
      <c r="H11" s="33" t="inlineStr">
        <is>
          <t>Đạt yêu cầu</t>
        </is>
      </c>
      <c r="I11" s="33" t="inlineStr">
        <is>
          <t>Phạm Quốc Cường</t>
        </is>
      </c>
      <c r="J11" s="33" t="inlineStr">
        <is>
          <t>Nguyễn Văn Hùng</t>
        </is>
      </c>
      <c r="K11" s="23" t="inlineStr">
        <is>
          <t>Phun bề mặt đường nội bộ và vách ngoài</t>
        </is>
      </c>
    </row>
    <row r="12">
      <c r="A12" s="29" t="n">
        <v>4</v>
      </c>
      <c r="B12" s="29" t="inlineStr">
        <is>
          <t>2026-10-10</t>
        </is>
      </c>
      <c r="C12" s="29" t="inlineStr">
        <is>
          <t>Trạm xử lý chất thải Biogas</t>
        </is>
      </c>
      <c r="D12" s="27" t="inlineStr">
        <is>
          <t>Vận hành ép phân &amp; Biogas</t>
        </is>
      </c>
      <c r="E12" s="27" t="inlineStr">
        <is>
          <t>Men vi sinh Biogas Emic</t>
        </is>
      </c>
      <c r="F12" s="27" t="inlineStr">
        <is>
          <t>5 kg men/lần</t>
        </is>
      </c>
      <c r="G12" s="27" t="inlineStr">
        <is>
          <t>1.5 tấn phân ép khô</t>
        </is>
      </c>
      <c r="H12" s="29" t="inlineStr">
        <is>
          <t>Đạt tiêu chuẩn</t>
        </is>
      </c>
      <c r="I12" s="29" t="inlineStr">
        <is>
          <t>Đỗ Văn Giang</t>
        </is>
      </c>
      <c r="J12" s="29" t="inlineStr">
        <is>
          <t>Nguyễn Văn Hùng</t>
        </is>
      </c>
      <c r="K12" s="27" t="inlineStr">
        <is>
          <t>Phân khô đóng bao bán compost, nước vào hồ Biogas</t>
        </is>
      </c>
    </row>
    <row r="13">
      <c r="A13" s="33" t="n">
        <v>5</v>
      </c>
      <c r="B13" s="33" t="inlineStr">
        <is>
          <t>2026-10-12</t>
        </is>
      </c>
      <c r="C13" s="33" t="inlineStr">
        <is>
          <t>Xung quanh hành lang chuồng</t>
        </is>
      </c>
      <c r="D13" s="23" t="inlineStr">
        <is>
          <t>Diệt muỗi, ruồi &amp; Đặt bẫy chuột</t>
        </is>
      </c>
      <c r="E13" s="23" t="inlineStr">
        <is>
          <t>Fendona 10SC + Hộc bẫy Storm</t>
        </is>
      </c>
      <c r="F13" s="23" t="inlineStr">
        <is>
          <t>20 ml/5 lít nước</t>
        </is>
      </c>
      <c r="G13" s="23" t="inlineStr">
        <is>
          <t>30 hộc bẫy chuột</t>
        </is>
      </c>
      <c r="H13" s="33" t="inlineStr">
        <is>
          <t>Diệt 90% ruồi</t>
        </is>
      </c>
      <c r="I13" s="33" t="inlineStr">
        <is>
          <t>Phạm Quốc Cường</t>
        </is>
      </c>
      <c r="J13" s="33" t="inlineStr">
        <is>
          <t>Nguyễn Văn Hùng</t>
        </is>
      </c>
      <c r="K13" s="23" t="inlineStr">
        <is>
          <t>Kiểm tra hộc bẫy, bổ sung mồi bẫy chuột</t>
        </is>
      </c>
    </row>
    <row r="14">
      <c r="A14" s="29" t="n">
        <v>6</v>
      </c>
      <c r="B14" s="29" t="inlineStr">
        <is>
          <t>2026-10-15</t>
        </is>
      </c>
      <c r="C14" s="29" t="inlineStr">
        <is>
          <t>Dãy chuồng C-THIT-05</t>
        </is>
      </c>
      <c r="D14" s="27" t="inlineStr">
        <is>
          <t>Vệ sinh &amp; Để trống chuồng</t>
        </is>
      </c>
      <c r="E14" s="27" t="inlineStr">
        <is>
          <t>Xà phòng rửa + Vôi bột + Benkocid</t>
        </is>
      </c>
      <c r="F14" s="27" t="inlineStr">
        <is>
          <t>Quét vôi 20%</t>
        </is>
      </c>
      <c r="G14" s="27" t="inlineStr">
        <is>
          <t>-</t>
        </is>
      </c>
      <c r="H14" s="29" t="inlineStr">
        <is>
          <t>Chuồng khô sạch</t>
        </is>
      </c>
      <c r="I14" s="29" t="inlineStr">
        <is>
          <t>Phạm Quốc Cường</t>
        </is>
      </c>
      <c r="J14" s="29" t="inlineStr">
        <is>
          <t>Nguyễn Văn Hùng</t>
        </is>
      </c>
      <c r="K14" s="27" t="inlineStr">
        <is>
          <t>Để trống chuồng 8 ngày trước khi nhập lứa mới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2026-10-25T02:30:42Z</dcterms:created>
  <dcterms:modified xmlns:dcterms="http://purl.org/dc/terms/" xmlns:xsi="http://www.w3.org/2001/XMLSchema-instance" xsi:type="dcterms:W3CDTF">2026-10-25T02:30:42Z</dcterms:modified>
</cp:coreProperties>
</file>